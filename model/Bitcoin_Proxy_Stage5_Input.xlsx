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cfa54ee10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13901a78690f4a7e"/>
    <x:sheet xmlns:r="http://schemas.openxmlformats.org/officeDocument/2006/relationships" name="Company Metrics" sheetId="2" r:id="R62d97525496a4946"/>
    <x:sheet xmlns:r="http://schemas.openxmlformats.org/officeDocument/2006/relationships" name="Treasury Valuation" sheetId="3" r:id="Red90c7986ce3443b"/>
    <x:sheet xmlns:r="http://schemas.openxmlformats.org/officeDocument/2006/relationships" name="Scenario Returns" sheetId="4" r:id="Rdb3d1b129d7f4bbc"/>
    <x:sheet xmlns:r="http://schemas.openxmlformats.org/officeDocument/2006/relationships" name="Data Gaps" sheetId="5" r:id="R6f60ae57218d4ce6"/>
    <x:sheet xmlns:r="http://schemas.openxmlformats.org/officeDocument/2006/relationships" name="Metric Dictionary" sheetId="6" r:id="Rac6d7256fffd432d"/>
    <x:sheet xmlns:r="http://schemas.openxmlformats.org/officeDocument/2006/relationships" name="Sources &amp; Audit" sheetId="7" r:id="R9ee01ff1b6644c9f"/>
    <x:sheet xmlns:r="http://schemas.openxmlformats.org/officeDocument/2006/relationships" name="Checks" sheetId="8" r:id="Rbb4ff860affa4daf"/>
    <x:sheet xmlns:r="http://schemas.openxmlformats.org/officeDocument/2006/relationships" name="Stage 5 Readiness" sheetId="9" r:id="Rd8215ad94c774962"/>
    <x:sheet xmlns:r="http://schemas.openxmlformats.org/officeDocument/2006/relationships" name="Source Data Refresh" sheetId="10" r:id="Rb5790d35118046b8"/>
    <x:sheet xmlns:r="http://schemas.openxmlformats.org/officeDocument/2006/relationships" name="Stage 4 Assumptions" sheetId="11" r:id="Rafef33d6340f4bb2"/>
    <x:sheet xmlns:r="http://schemas.openxmlformats.org/officeDocument/2006/relationships" name="Stage 4 Model" sheetId="12" r:id="Ra30e0da7e7864646"/>
    <x:sheet xmlns:r="http://schemas.openxmlformats.org/officeDocument/2006/relationships" name="Stage 4 Summary" sheetId="13" r:id="Rd0cbb7d225754c5d"/>
  </x:sheets>
</x:workbook>
</file>

<file path=xl/comments1.xml><?xml version="1.0" encoding="utf-8"?>
<x:comments xmlns:x="http://schemas.openxmlformats.org/spreadsheetml/2006/main">
  <x:authors>
    <x:author>tc={4FCDE3CA-472F-02DE-07F3-674A338BCBC2}</x:author>
    <x:author>tc={D85847D8-0DFF-D0CA-D1B1-F78179D7BF28}</x:author>
    <x:author>tc={4087A237-7D8A-E7C3-9E65-1680540AC81D}</x:author>
    <x:author>tc={2779395E-F936-B8E7-7AD4-18AEB30DD307}</x:author>
    <x:author>tc={F777AACE-5932-ED7F-3CDD-878EBE111009}</x:author>
    <x:author>tc={2BC7DEE8-8A7F-B9F4-8295-5412A139B68A}</x:author>
  </x:authors>
  <x:commentList>
    <x:comment ref="A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Strategy investor briefing and SEC filings; detailed URLs are in Source Data Refresh.</x:t>
        </x:r>
      </x:text>
    </x:comment>
    <x:comment ref="A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Metaplanet Q2 materials and strategy tracker; cash remains an explicit gap.</x:t>
        </x:r>
      </x:text>
    </x:comment>
    <x:comment ref="A1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Twenty One Capital 10-Q; convert and officer options included.</x:t>
        </x:r>
      </x:text>
    </x:comment>
    <x:comment ref="A1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American Bitcoin 10-Q and results exhibit; debt-equivalent includes miner purchase and lease liabilities.</x:t>
        </x:r>
      </x:text>
    </x:comment>
    <x:comment ref="A1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CleanSpark 10-Q and monthly operating update; HPC economics beyond contracted MW are assumptions.</x:t>
        </x:r>
      </x:text>
    </x:comment>
    <x:comment ref="A1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MARA 10-Q; post-quarter infrastructure and credit facilities remain scenario-sensitive.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$#,##0"/>
    <x:numFmt numFmtId="201" formatCode="0.0%"/>
    <x:numFmt numFmtId="202" formatCode="¥#,##0"/>
    <x:numFmt numFmtId="203" formatCode="0.00%"/>
    <x:numFmt numFmtId="204" formatCode="0.00"/>
    <x:numFmt numFmtId="205" formatCode="#,##0"/>
    <x:numFmt numFmtId="206" formatCode="#,##0.000"/>
    <x:numFmt numFmtId="207" formatCode="#,##0.0"/>
    <x:numFmt numFmtId="208" formatCode="0.00x"/>
    <x:numFmt numFmtId="209" formatCode="#,##0.000;[Red](#,##0.000);-"/>
    <x:numFmt numFmtId="210" formatCode="0.0x"/>
    <x:numFmt numFmtId="211" formatCode="0"/>
    <x:numFmt numFmtId="212" formatCode="$0.00"/>
    <x:numFmt numFmtId="213" formatCode="$#,##0.0"/>
    <x:numFmt numFmtId="214" formatCode="$#,##0.00"/>
    <x:numFmt numFmtId="215" formatCode="0.000000"/>
  </x:numFmts>
  <x:fonts count="3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6"/>
      <x:color rgb="FFFFFFFF"/>
      <x:name val="Aptos"/>
    </x:font>
    <x:font>
      <x:i/>
      <x:sz val="11"/>
      <x:color rgb="FF404040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sz val="11"/>
      <x:color rgb="FF0000FF"/>
      <x:name val="Aptos"/>
    </x:font>
    <x:font>
      <x:sz val="11"/>
      <x:color rgb="FF008000"/>
      <x:name val="Aptos"/>
    </x:font>
    <x:font>
      <x:b/>
      <x:sz val="11"/>
      <x:color rgb="FF9C0006"/>
      <x:name val="Carlito"/>
    </x:font>
    <x:font>
      <x:b/>
      <x:sz val="11"/>
      <x:color rgb="FF9C0006"/>
      <x:name val="Aptos"/>
    </x:font>
    <x:font>
      <x:i/>
      <x:sz val="10"/>
      <x:color rgb="FF40404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sz val="8"/>
      <x:color rgb="FF0563C1"/>
      <x:name val="Carlito"/>
    </x:font>
    <x:font>
      <x:b/>
      <x:sz val="11"/>
      <x:color rgb="FF0000FF"/>
      <x:name val="Aptos"/>
    </x:font>
    <x:font>
      <x:b/>
      <x:sz val="11"/>
      <x:color rgb="FF9C6500"/>
      <x:name val="Aptos"/>
    </x:font>
    <x:font>
      <x:sz val="9"/>
      <x:color rgb="FF000000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i/>
      <x:sz val="10"/>
      <x:color rgb="FF404040"/>
      <x:name val="Aptos"/>
    </x:font>
    <x:font>
      <x:b/>
      <x:sz val="10"/>
      <x:color rgb="FFFFFFFF"/>
      <x:name val="Aptos"/>
    </x:font>
    <x:font>
      <x:sz val="9"/>
      <x:color rgb="FF000000"/>
      <x:name val="Aptos"/>
    </x:font>
    <x:font>
      <x:sz val="9"/>
      <x:color rgb="FF008000"/>
      <x:name val="Aptos"/>
    </x:font>
    <x:font>
      <x:b/>
      <x:sz val="11"/>
      <x:color rgb="FF006100"/>
      <x:name val="Aptos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7">
    <x:border/>
    <x:border>
      <x:right style="thin">
        <x:color rgb="FFB4C6E7"/>
      </x:right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4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0" fillId="0" borderId="4" xfId="0" applyNumberFormat="1" applyFont="1" applyFill="1" applyBorder="1"/>
    <x:xf numFmtId="0" fontId="5" fillId="0" borderId="4" xfId="0" applyNumberFormat="1" applyFont="1" applyFill="1" applyBorder="1"/>
    <x:xf numFmtId="200" fontId="6" fillId="0" borderId="4" xfId="0" applyNumberFormat="1" applyFont="1" applyFill="1" applyBorder="1"/>
    <x:xf numFmtId="201" fontId="6" fillId="0" borderId="4" xfId="0" applyNumberFormat="1" applyFont="1" applyFill="1" applyBorder="1"/>
    <x:xf numFmtId="201" fontId="5" fillId="0" borderId="4" xfId="0" applyNumberFormat="1" applyFont="1" applyFill="1" applyBorder="1"/>
    <x:xf numFmtId="0" fontId="0" fillId="0" borderId="5" xfId="0" applyNumberFormat="1" applyFont="1" applyFill="1" applyBorder="1"/>
    <x:xf numFmtId="0" fontId="5" fillId="0" borderId="5" xfId="0" applyNumberFormat="1" applyFont="1" applyFill="1" applyBorder="1"/>
    <x:xf numFmtId="200" fontId="6" fillId="0" borderId="5" xfId="0" applyNumberFormat="1" applyFont="1" applyFill="1" applyBorder="1"/>
    <x:xf numFmtId="201" fontId="6" fillId="0" borderId="5" xfId="0" applyNumberFormat="1" applyFont="1" applyFill="1" applyBorder="1"/>
    <x:xf numFmtId="201" fontId="5" fillId="0" borderId="5" xfId="0" applyNumberFormat="1" applyFont="1" applyFill="1" applyBorder="1"/>
    <x:xf numFmtId="0" fontId="0" fillId="0" borderId="6" xfId="0" applyNumberFormat="1" applyFont="1" applyFill="1" applyBorder="1"/>
    <x:xf numFmtId="0" fontId="5" fillId="0" borderId="6" xfId="0" applyNumberFormat="1" applyFont="1" applyFill="1" applyBorder="1"/>
    <x:xf numFmtId="200" fontId="6" fillId="0" borderId="6" xfId="0" applyNumberFormat="1" applyFont="1" applyFill="1" applyBorder="1"/>
    <x:xf numFmtId="201" fontId="6" fillId="0" borderId="6" xfId="0" applyNumberFormat="1" applyFont="1" applyFill="1" applyBorder="1"/>
    <x:xf numFmtId="201" fontId="5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200" fontId="6" fillId="0" borderId="4" xfId="0" applyNumberFormat="1" applyFont="1" applyFill="1" applyBorder="1" applyAlignment="1">
      <x:alignment vertical="top"/>
    </x:xf>
    <x:xf numFmtId="201" fontId="6" fillId="0" borderId="4" xfId="0" applyNumberFormat="1" applyFont="1" applyFill="1" applyBorder="1" applyAlignment="1">
      <x:alignment vertical="top"/>
    </x:xf>
    <x:xf numFmtId="201" fontId="5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200" fontId="6" fillId="0" borderId="5" xfId="0" applyNumberFormat="1" applyFont="1" applyFill="1" applyBorder="1" applyAlignment="1">
      <x:alignment vertical="top"/>
    </x:xf>
    <x:xf numFmtId="201" fontId="6" fillId="0" borderId="5" xfId="0" applyNumberFormat="1" applyFont="1" applyFill="1" applyBorder="1" applyAlignment="1">
      <x:alignment vertical="top"/>
    </x:xf>
    <x:xf numFmtId="201" fontId="5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200" fontId="6" fillId="0" borderId="6" xfId="0" applyNumberFormat="1" applyFont="1" applyFill="1" applyBorder="1" applyAlignment="1">
      <x:alignment vertical="top"/>
    </x:xf>
    <x:xf numFmtId="201" fontId="6" fillId="0" borderId="6" xfId="0" applyNumberFormat="1" applyFont="1" applyFill="1" applyBorder="1" applyAlignment="1">
      <x:alignment vertical="top"/>
    </x:xf>
    <x:xf numFmtId="201" fontId="5" fillId="0" borderId="6" xfId="0" applyNumberFormat="1" applyFont="1" applyFill="1" applyBorder="1" applyAlignment="1">
      <x:alignment vertical="top"/>
    </x:xf>
    <x:xf numFmtId="203" fontId="0" fillId="0" borderId="0" xfId="0" applyNumberFormat="1" applyFont="1" applyFill="1" applyBorder="1"/>
    <x:xf numFmtId="203" fontId="0" fillId="0" borderId="5" xfId="0" applyNumberFormat="1" applyFont="1" applyFill="1" applyBorder="1"/>
    <x:xf numFmtId="203" fontId="0" fillId="0" borderId="5" xfId="0" applyNumberFormat="1" applyFont="1" applyFill="1" applyBorder="1" applyAlignment="1">
      <x:alignment vertical="top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/>
    <x:xf numFmtId="0" fontId="11" fillId="5" borderId="1" xfId="0" applyNumberFormat="1" applyFont="1" applyFill="1" applyBorder="1" applyAlignment="1">
      <x:alignment vertical="center" wrapText="1"/>
    </x:xf>
    <x:xf numFmtId="0" fontId="11" fillId="5" borderId="2" xfId="0" applyNumberFormat="1" applyFont="1" applyFill="1" applyBorder="1" applyAlignment="1">
      <x:alignment vertical="center" wrapText="1"/>
    </x:xf>
    <x:xf numFmtId="0" fontId="11" fillId="5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top"/>
    </x:xf>
    <x:xf numFmtId="0" fontId="12" fillId="0" borderId="4" xfId="0" applyNumberFormat="1" applyFont="1" applyFill="1" applyBorder="1" applyAlignment="1">
      <x:alignment vertical="top"/>
    </x:xf>
    <x:xf numFmtId="200" fontId="13" fillId="0" borderId="4" xfId="0" applyNumberFormat="1" applyFont="1" applyFill="1" applyBorder="1" applyAlignment="1">
      <x:alignment vertical="top"/>
    </x:xf>
    <x:xf numFmtId="201" fontId="13" fillId="0" borderId="4" xfId="0" applyNumberFormat="1" applyFont="1" applyFill="1" applyBorder="1" applyAlignment="1">
      <x:alignment vertical="top"/>
    </x:xf>
    <x:xf numFmtId="201" fontId="12" fillId="0" borderId="4" xfId="0" applyNumberFormat="1" applyFont="1" applyFill="1" applyBorder="1" applyAlignment="1">
      <x:alignment vertical="top"/>
    </x:xf>
    <x:xf numFmtId="200" fontId="12" fillId="0" borderId="0" xfId="0" applyNumberFormat="1" applyFont="1" applyFill="1" applyBorder="1"/>
    <x:xf numFmtId="0" fontId="9" fillId="0" borderId="5" xfId="0" applyNumberFormat="1" applyFont="1" applyFill="1" applyBorder="1" applyAlignment="1">
      <x:alignment vertical="top"/>
    </x:xf>
    <x:xf numFmtId="0" fontId="12" fillId="0" borderId="5" xfId="0" applyNumberFormat="1" applyFont="1" applyFill="1" applyBorder="1" applyAlignment="1">
      <x:alignment vertical="top"/>
    </x:xf>
    <x:xf numFmtId="200" fontId="13" fillId="0" borderId="5" xfId="0" applyNumberFormat="1" applyFont="1" applyFill="1" applyBorder="1" applyAlignment="1">
      <x:alignment vertical="top"/>
    </x:xf>
    <x:xf numFmtId="201" fontId="13" fillId="0" borderId="5" xfId="0" applyNumberFormat="1" applyFont="1" applyFill="1" applyBorder="1" applyAlignment="1">
      <x:alignment vertical="top"/>
    </x:xf>
    <x:xf numFmtId="201" fontId="12" fillId="0" borderId="5" xfId="0" applyNumberFormat="1" applyFont="1" applyFill="1" applyBorder="1" applyAlignment="1">
      <x:alignment vertical="top"/>
    </x:xf>
    <x:xf numFmtId="202" fontId="12" fillId="0" borderId="0" xfId="0" applyNumberFormat="1" applyFont="1" applyFill="1" applyBorder="1"/>
    <x:xf numFmtId="0" fontId="9" fillId="0" borderId="6" xfId="0" applyNumberFormat="1" applyFont="1" applyFill="1" applyBorder="1" applyAlignment="1">
      <x:alignment vertical="top"/>
    </x:xf>
    <x:xf numFmtId="0" fontId="12" fillId="0" borderId="6" xfId="0" applyNumberFormat="1" applyFont="1" applyFill="1" applyBorder="1" applyAlignment="1">
      <x:alignment vertical="top"/>
    </x:xf>
    <x:xf numFmtId="200" fontId="13" fillId="0" borderId="6" xfId="0" applyNumberFormat="1" applyFont="1" applyFill="1" applyBorder="1" applyAlignment="1">
      <x:alignment vertical="top"/>
    </x:xf>
    <x:xf numFmtId="201" fontId="13" fillId="0" borderId="6" xfId="0" applyNumberFormat="1" applyFont="1" applyFill="1" applyBorder="1" applyAlignment="1">
      <x:alignment vertical="top"/>
    </x:xf>
    <x:xf numFmtId="201" fontId="12" fillId="0" borderId="6" xfId="0" applyNumberFormat="1" applyFont="1" applyFill="1" applyBorder="1" applyAlignment="1">
      <x:alignment vertical="top"/>
    </x:xf>
    <x:xf numFmtId="203" fontId="9" fillId="0" borderId="5" xfId="0" applyNumberFormat="1" applyFont="1" applyFill="1" applyBorder="1" applyAlignment="1">
      <x:alignment vertical="top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7" fontId="0" fillId="6" borderId="0" xfId="0" applyNumberFormat="1" applyFont="1" applyFill="1" applyBorder="1"/>
    <x:xf numFmtId="0" fontId="0" fillId="7" borderId="0" xfId="0" applyNumberFormat="1" applyFont="1" applyFill="1" applyBorder="1"/>
    <x:xf numFmtId="204" fontId="0" fillId="0" borderId="4" xfId="0" applyNumberFormat="1" applyFont="1" applyFill="1" applyBorder="1"/>
    <x:xf numFmtId="205" fontId="0" fillId="0" borderId="4" xfId="0" applyNumberFormat="1" applyFont="1" applyFill="1" applyBorder="1"/>
    <x:xf numFmtId="206" fontId="0" fillId="0" borderId="4" xfId="0" applyNumberFormat="1" applyFont="1" applyFill="1" applyBorder="1"/>
    <x:xf numFmtId="207" fontId="0" fillId="0" borderId="4" xfId="0" applyNumberFormat="1" applyFont="1" applyFill="1" applyBorder="1"/>
    <x:xf numFmtId="207" fontId="0" fillId="6" borderId="4" xfId="0" applyNumberFormat="1" applyFont="1" applyFill="1" applyBorder="1"/>
    <x:xf numFmtId="0" fontId="0" fillId="7" borderId="4" xfId="0" applyNumberFormat="1" applyFont="1" applyFill="1" applyBorder="1"/>
    <x:xf numFmtId="204" fontId="0" fillId="0" borderId="5" xfId="0" applyNumberFormat="1" applyFont="1" applyFill="1" applyBorder="1"/>
    <x:xf numFmtId="205" fontId="0" fillId="0" borderId="5" xfId="0" applyNumberFormat="1" applyFont="1" applyFill="1" applyBorder="1"/>
    <x:xf numFmtId="206" fontId="0" fillId="0" borderId="5" xfId="0" applyNumberFormat="1" applyFont="1" applyFill="1" applyBorder="1"/>
    <x:xf numFmtId="207" fontId="0" fillId="0" borderId="5" xfId="0" applyNumberFormat="1" applyFont="1" applyFill="1" applyBorder="1"/>
    <x:xf numFmtId="207" fontId="0" fillId="6" borderId="5" xfId="0" applyNumberFormat="1" applyFont="1" applyFill="1" applyBorder="1"/>
    <x:xf numFmtId="0" fontId="0" fillId="7" borderId="5" xfId="0" applyNumberFormat="1" applyFont="1" applyFill="1" applyBorder="1"/>
    <x:xf numFmtId="204" fontId="0" fillId="0" borderId="6" xfId="0" applyNumberFormat="1" applyFont="1" applyFill="1" applyBorder="1"/>
    <x:xf numFmtId="205" fontId="0" fillId="0" borderId="6" xfId="0" applyNumberFormat="1" applyFont="1" applyFill="1" applyBorder="1"/>
    <x:xf numFmtId="206" fontId="0" fillId="0" borderId="6" xfId="0" applyNumberFormat="1" applyFont="1" applyFill="1" applyBorder="1"/>
    <x:xf numFmtId="207" fontId="0" fillId="0" borderId="6" xfId="0" applyNumberFormat="1" applyFont="1" applyFill="1" applyBorder="1"/>
    <x:xf numFmtId="207" fontId="0" fillId="6" borderId="6" xfId="0" applyNumberFormat="1" applyFont="1" applyFill="1" applyBorder="1"/>
    <x:xf numFmtId="0" fontId="0" fillId="7" borderId="6" xfId="0" applyNumberFormat="1" applyFont="1" applyFill="1" applyBorder="1"/>
    <x:xf numFmtId="204" fontId="0" fillId="0" borderId="4" xfId="0" applyNumberFormat="1" applyFont="1" applyFill="1" applyBorder="1" applyAlignment="1">
      <x:alignment vertical="top"/>
    </x:xf>
    <x:xf numFmtId="205" fontId="0" fillId="0" borderId="4" xfId="0" applyNumberFormat="1" applyFont="1" applyFill="1" applyBorder="1" applyAlignment="1">
      <x:alignment vertical="top"/>
    </x:xf>
    <x:xf numFmtId="206" fontId="0" fillId="0" borderId="4" xfId="0" applyNumberFormat="1" applyFont="1" applyFill="1" applyBorder="1" applyAlignment="1">
      <x:alignment vertical="top"/>
    </x:xf>
    <x:xf numFmtId="207" fontId="0" fillId="0" borderId="4" xfId="0" applyNumberFormat="1" applyFont="1" applyFill="1" applyBorder="1" applyAlignment="1">
      <x:alignment vertical="top"/>
    </x:xf>
    <x:xf numFmtId="207" fontId="0" fillId="6" borderId="4" xfId="0" applyNumberFormat="1" applyFont="1" applyFill="1" applyBorder="1" applyAlignment="1">
      <x:alignment vertical="top"/>
    </x:xf>
    <x:xf numFmtId="0" fontId="0" fillId="7" borderId="4" xfId="0" applyNumberFormat="1" applyFont="1" applyFill="1" applyBorder="1" applyAlignment="1">
      <x:alignment vertical="top"/>
    </x:xf>
    <x:xf numFmtId="204" fontId="0" fillId="0" borderId="5" xfId="0" applyNumberFormat="1" applyFont="1" applyFill="1" applyBorder="1" applyAlignment="1">
      <x:alignment vertical="top"/>
    </x:xf>
    <x:xf numFmtId="205" fontId="0" fillId="0" borderId="5" xfId="0" applyNumberFormat="1" applyFont="1" applyFill="1" applyBorder="1" applyAlignment="1">
      <x:alignment vertical="top"/>
    </x:xf>
    <x:xf numFmtId="206" fontId="0" fillId="0" borderId="5" xfId="0" applyNumberFormat="1" applyFont="1" applyFill="1" applyBorder="1" applyAlignment="1">
      <x:alignment vertical="top"/>
    </x:xf>
    <x:xf numFmtId="207" fontId="0" fillId="0" borderId="5" xfId="0" applyNumberFormat="1" applyFont="1" applyFill="1" applyBorder="1" applyAlignment="1">
      <x:alignment vertical="top"/>
    </x:xf>
    <x:xf numFmtId="207" fontId="0" fillId="6" borderId="5" xfId="0" applyNumberFormat="1" applyFont="1" applyFill="1" applyBorder="1" applyAlignment="1">
      <x:alignment vertical="top"/>
    </x:xf>
    <x:xf numFmtId="0" fontId="0" fillId="7" borderId="5" xfId="0" applyNumberFormat="1" applyFont="1" applyFill="1" applyBorder="1" applyAlignment="1">
      <x:alignment vertical="top"/>
    </x:xf>
    <x:xf numFmtId="204" fontId="0" fillId="0" borderId="6" xfId="0" applyNumberFormat="1" applyFont="1" applyFill="1" applyBorder="1" applyAlignment="1">
      <x:alignment vertical="top"/>
    </x:xf>
    <x:xf numFmtId="205" fontId="0" fillId="0" borderId="6" xfId="0" applyNumberFormat="1" applyFont="1" applyFill="1" applyBorder="1" applyAlignment="1">
      <x:alignment vertical="top"/>
    </x:xf>
    <x:xf numFmtId="206" fontId="0" fillId="0" borderId="6" xfId="0" applyNumberFormat="1" applyFont="1" applyFill="1" applyBorder="1" applyAlignment="1">
      <x:alignment vertical="top"/>
    </x:xf>
    <x:xf numFmtId="207" fontId="0" fillId="0" borderId="6" xfId="0" applyNumberFormat="1" applyFont="1" applyFill="1" applyBorder="1" applyAlignment="1">
      <x:alignment vertical="top"/>
    </x:xf>
    <x:xf numFmtId="207" fontId="0" fillId="6" borderId="6" xfId="0" applyNumberFormat="1" applyFont="1" applyFill="1" applyBorder="1" applyAlignment="1">
      <x:alignment vertical="top"/>
    </x:xf>
    <x:xf numFmtId="0" fontId="0" fillId="7" borderId="6" xfId="0" applyNumberFormat="1" applyFont="1" applyFill="1" applyBorder="1" applyAlignment="1">
      <x:alignment vertical="top"/>
    </x:xf>
    <x:xf numFmtId="204" fontId="9" fillId="0" borderId="4" xfId="0" applyNumberFormat="1" applyFont="1" applyFill="1" applyBorder="1" applyAlignment="1">
      <x:alignment vertical="top"/>
    </x:xf>
    <x:xf numFmtId="205" fontId="9" fillId="0" borderId="4" xfId="0" applyNumberFormat="1" applyFont="1" applyFill="1" applyBorder="1" applyAlignment="1">
      <x:alignment vertical="top"/>
    </x:xf>
    <x:xf numFmtId="206" fontId="9" fillId="0" borderId="4" xfId="0" applyNumberFormat="1" applyFont="1" applyFill="1" applyBorder="1" applyAlignment="1">
      <x:alignment vertical="top"/>
    </x:xf>
    <x:xf numFmtId="207" fontId="9" fillId="0" borderId="4" xfId="0" applyNumberFormat="1" applyFont="1" applyFill="1" applyBorder="1" applyAlignment="1">
      <x:alignment vertical="top"/>
    </x:xf>
    <x:xf numFmtId="207" fontId="9" fillId="6" borderId="4" xfId="0" applyNumberFormat="1" applyFont="1" applyFill="1" applyBorder="1" applyAlignment="1">
      <x:alignment vertical="top"/>
    </x:xf>
    <x:xf numFmtId="0" fontId="9" fillId="7" borderId="4" xfId="0" applyNumberFormat="1" applyFont="1" applyFill="1" applyBorder="1" applyAlignment="1">
      <x:alignment vertical="top"/>
    </x:xf>
    <x:xf numFmtId="204" fontId="9" fillId="0" borderId="5" xfId="0" applyNumberFormat="1" applyFont="1" applyFill="1" applyBorder="1" applyAlignment="1">
      <x:alignment vertical="top"/>
    </x:xf>
    <x:xf numFmtId="205" fontId="9" fillId="0" borderId="5" xfId="0" applyNumberFormat="1" applyFont="1" applyFill="1" applyBorder="1" applyAlignment="1">
      <x:alignment vertical="top"/>
    </x:xf>
    <x:xf numFmtId="206" fontId="9" fillId="0" borderId="5" xfId="0" applyNumberFormat="1" applyFont="1" applyFill="1" applyBorder="1" applyAlignment="1">
      <x:alignment vertical="top"/>
    </x:xf>
    <x:xf numFmtId="207" fontId="9" fillId="0" borderId="5" xfId="0" applyNumberFormat="1" applyFont="1" applyFill="1" applyBorder="1" applyAlignment="1">
      <x:alignment vertical="top"/>
    </x:xf>
    <x:xf numFmtId="207" fontId="9" fillId="6" borderId="5" xfId="0" applyNumberFormat="1" applyFont="1" applyFill="1" applyBorder="1" applyAlignment="1">
      <x:alignment vertical="top"/>
    </x:xf>
    <x:xf numFmtId="0" fontId="9" fillId="7" borderId="5" xfId="0" applyNumberFormat="1" applyFont="1" applyFill="1" applyBorder="1" applyAlignment="1">
      <x:alignment vertical="top"/>
    </x:xf>
    <x:xf numFmtId="204" fontId="9" fillId="0" borderId="6" xfId="0" applyNumberFormat="1" applyFont="1" applyFill="1" applyBorder="1" applyAlignment="1">
      <x:alignment vertical="top"/>
    </x:xf>
    <x:xf numFmtId="205" fontId="9" fillId="0" borderId="6" xfId="0" applyNumberFormat="1" applyFont="1" applyFill="1" applyBorder="1" applyAlignment="1">
      <x:alignment vertical="top"/>
    </x:xf>
    <x:xf numFmtId="206" fontId="9" fillId="0" borderId="6" xfId="0" applyNumberFormat="1" applyFont="1" applyFill="1" applyBorder="1" applyAlignment="1">
      <x:alignment vertical="top"/>
    </x:xf>
    <x:xf numFmtId="207" fontId="9" fillId="0" borderId="6" xfId="0" applyNumberFormat="1" applyFont="1" applyFill="1" applyBorder="1" applyAlignment="1">
      <x:alignment vertical="top"/>
    </x:xf>
    <x:xf numFmtId="207" fontId="9" fillId="6" borderId="6" xfId="0" applyNumberFormat="1" applyFont="1" applyFill="1" applyBorder="1" applyAlignment="1">
      <x:alignment vertical="top"/>
    </x:xf>
    <x:xf numFmtId="0" fontId="9" fillId="7" borderId="6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0" fontId="0" fillId="8" borderId="0" xfId="0" applyNumberFormat="1" applyFont="1" applyFill="1" applyBorder="1"/>
    <x:xf numFmtId="208" fontId="0" fillId="0" borderId="4" xfId="0" applyNumberFormat="1" applyFont="1" applyFill="1" applyBorder="1"/>
    <x:xf numFmtId="208" fontId="0" fillId="0" borderId="5" xfId="0" applyNumberFormat="1" applyFont="1" applyFill="1" applyBorder="1"/>
    <x:xf numFmtId="0" fontId="0" fillId="6" borderId="5" xfId="0" applyNumberFormat="1" applyFont="1" applyFill="1" applyBorder="1"/>
    <x:xf numFmtId="0" fontId="0" fillId="8" borderId="5" xfId="0" applyNumberFormat="1" applyFont="1" applyFill="1" applyBorder="1"/>
    <x:xf numFmtId="208" fontId="0" fillId="0" borderId="6" xfId="0" applyNumberFormat="1" applyFont="1" applyFill="1" applyBorder="1"/>
    <x:xf numFmtId="0" fontId="0" fillId="8" borderId="6" xfId="0" applyNumberFormat="1" applyFont="1" applyFill="1" applyBorder="1"/>
    <x:xf numFmtId="208" fontId="0" fillId="0" borderId="4" xfId="0" applyNumberFormat="1" applyFont="1" applyFill="1" applyBorder="1" applyAlignment="1">
      <x:alignment vertical="top"/>
    </x:xf>
    <x:xf numFmtId="208" fontId="0" fillId="0" borderId="5" xfId="0" applyNumberFormat="1" applyFont="1" applyFill="1" applyBorder="1" applyAlignment="1">
      <x:alignment vertical="top"/>
    </x:xf>
    <x:xf numFmtId="0" fontId="0" fillId="6" borderId="5" xfId="0" applyNumberFormat="1" applyFont="1" applyFill="1" applyBorder="1" applyAlignment="1">
      <x:alignment vertical="top"/>
    </x:xf>
    <x:xf numFmtId="0" fontId="0" fillId="8" borderId="5" xfId="0" applyNumberFormat="1" applyFont="1" applyFill="1" applyBorder="1" applyAlignment="1">
      <x:alignment vertical="top"/>
    </x:xf>
    <x:xf numFmtId="208" fontId="0" fillId="0" borderId="6" xfId="0" applyNumberFormat="1" applyFont="1" applyFill="1" applyBorder="1" applyAlignment="1">
      <x:alignment vertical="top"/>
    </x:xf>
    <x:xf numFmtId="0" fontId="0" fillId="8" borderId="6" xfId="0" applyNumberFormat="1" applyFont="1" applyFill="1" applyBorder="1" applyAlignment="1">
      <x:alignment vertical="top"/>
    </x:xf>
    <x:xf numFmtId="0" fontId="8" fillId="6" borderId="0" xfId="0" applyNumberFormat="1" applyFont="1" applyFill="1" applyBorder="1" applyAlignment="1">
      <x:alignment wrapText="1"/>
    </x:xf>
    <x:xf numFmtId="208" fontId="9" fillId="0" borderId="4" xfId="0" applyNumberFormat="1" applyFont="1" applyFill="1" applyBorder="1" applyAlignment="1">
      <x:alignment vertical="top"/>
    </x:xf>
    <x:xf numFmtId="208" fontId="9" fillId="0" borderId="5" xfId="0" applyNumberFormat="1" applyFont="1" applyFill="1" applyBorder="1" applyAlignment="1">
      <x:alignment vertical="top"/>
    </x:xf>
    <x:xf numFmtId="0" fontId="9" fillId="6" borderId="5" xfId="0" applyNumberFormat="1" applyFont="1" applyFill="1" applyBorder="1" applyAlignment="1">
      <x:alignment vertical="top"/>
    </x:xf>
    <x:xf numFmtId="0" fontId="9" fillId="8" borderId="5" xfId="0" applyNumberFormat="1" applyFont="1" applyFill="1" applyBorder="1" applyAlignment="1">
      <x:alignment vertical="top"/>
    </x:xf>
    <x:xf numFmtId="208" fontId="9" fillId="0" borderId="6" xfId="0" applyNumberFormat="1" applyFont="1" applyFill="1" applyBorder="1" applyAlignment="1">
      <x:alignment vertical="top"/>
    </x:xf>
    <x:xf numFmtId="0" fontId="9" fillId="8" borderId="6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0" fontId="0" fillId="9" borderId="0" xfId="0" applyNumberFormat="1" applyFont="1" applyFill="1" applyBorder="1"/>
    <x:xf numFmtId="201" fontId="0" fillId="0" borderId="4" xfId="0" applyNumberFormat="1" applyFont="1" applyFill="1" applyBorder="1"/>
    <x:xf numFmtId="0" fontId="0" fillId="9" borderId="4" xfId="0" applyNumberFormat="1" applyFont="1" applyFill="1" applyBorder="1"/>
    <x:xf numFmtId="0" fontId="0" fillId="8" borderId="4" xfId="0" applyNumberFormat="1" applyFont="1" applyFill="1" applyBorder="1"/>
    <x:xf numFmtId="201" fontId="0" fillId="0" borderId="5" xfId="0" applyNumberFormat="1" applyFont="1" applyFill="1" applyBorder="1"/>
    <x:xf numFmtId="0" fontId="0" fillId="9" borderId="5" xfId="0" applyNumberFormat="1" applyFont="1" applyFill="1" applyBorder="1"/>
    <x:xf numFmtId="201" fontId="0" fillId="0" borderId="6" xfId="0" applyNumberFormat="1" applyFont="1" applyFill="1" applyBorder="1"/>
    <x:xf numFmtId="0" fontId="0" fillId="9" borderId="6" xfId="0" applyNumberFormat="1" applyFont="1" applyFill="1" applyBorder="1"/>
    <x:xf numFmtId="201" fontId="0" fillId="0" borderId="4" xfId="0" applyNumberFormat="1" applyFont="1" applyFill="1" applyBorder="1" applyAlignment="1">
      <x:alignment vertical="top"/>
    </x:xf>
    <x:xf numFmtId="0" fontId="0" fillId="9" borderId="4" xfId="0" applyNumberFormat="1" applyFont="1" applyFill="1" applyBorder="1" applyAlignment="1">
      <x:alignment vertical="top"/>
    </x:xf>
    <x:xf numFmtId="0" fontId="0" fillId="8" borderId="4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0" fontId="0" fillId="9" borderId="5" xfId="0" applyNumberFormat="1" applyFont="1" applyFill="1" applyBorder="1" applyAlignment="1">
      <x:alignment vertical="top"/>
    </x:xf>
    <x:xf numFmtId="201" fontId="0" fillId="0" borderId="6" xfId="0" applyNumberFormat="1" applyFont="1" applyFill="1" applyBorder="1" applyAlignment="1">
      <x:alignment vertical="top"/>
    </x:xf>
    <x:xf numFmtId="0" fontId="0" fillId="9" borderId="6" xfId="0" applyNumberFormat="1" applyFont="1" applyFill="1" applyBorder="1" applyAlignment="1">
      <x:alignment vertical="top"/>
    </x:xf>
    <x:xf numFmtId="201" fontId="9" fillId="0" borderId="4" xfId="0" applyNumberFormat="1" applyFont="1" applyFill="1" applyBorder="1" applyAlignment="1">
      <x:alignment vertical="top"/>
    </x:xf>
    <x:xf numFmtId="0" fontId="9" fillId="9" borderId="4" xfId="0" applyNumberFormat="1" applyFont="1" applyFill="1" applyBorder="1" applyAlignment="1">
      <x:alignment vertical="top"/>
    </x:xf>
    <x:xf numFmtId="0" fontId="9" fillId="8" borderId="4" xfId="0" applyNumberFormat="1" applyFont="1" applyFill="1" applyBorder="1" applyAlignment="1">
      <x:alignment vertical="top"/>
    </x:xf>
    <x:xf numFmtId="201" fontId="9" fillId="0" borderId="5" xfId="0" applyNumberFormat="1" applyFont="1" applyFill="1" applyBorder="1" applyAlignment="1">
      <x:alignment vertical="top"/>
    </x:xf>
    <x:xf numFmtId="0" fontId="9" fillId="9" borderId="5" xfId="0" applyNumberFormat="1" applyFont="1" applyFill="1" applyBorder="1" applyAlignment="1">
      <x:alignment vertical="top"/>
    </x:xf>
    <x:xf numFmtId="201" fontId="9" fillId="0" borderId="6" xfId="0" applyNumberFormat="1" applyFont="1" applyFill="1" applyBorder="1" applyAlignment="1">
      <x:alignment vertical="top"/>
    </x:xf>
    <x:xf numFmtId="0" fontId="9" fillId="9" borderId="6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14" fillId="8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0" fillId="6" borderId="4" xfId="0" applyNumberFormat="1" applyFont="1" applyFill="1" applyBorder="1" applyAlignment="1">
      <x:alignment vertical="top"/>
    </x:xf>
    <x:xf numFmtId="0" fontId="0" fillId="6" borderId="6" xfId="0" applyNumberFormat="1" applyFont="1" applyFill="1" applyBorder="1" applyAlignment="1">
      <x:alignment vertical="top"/>
    </x:xf>
    <x:xf numFmtId="0" fontId="11" fillId="0" borderId="0" xfId="0" applyNumberFormat="1" applyFont="1" applyFill="1" applyBorder="1"/>
    <x:xf numFmtId="0" fontId="15" fillId="8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4" xfId="0" applyNumberFormat="1" applyFont="1" applyFill="1" applyBorder="1" applyAlignment="1">
      <x:alignment vertical="top"/>
    </x:xf>
    <x:xf numFmtId="0" fontId="9" fillId="6" borderId="6" xfId="0" applyNumberFormat="1" applyFont="1" applyFill="1" applyBorder="1" applyAlignment="1">
      <x:alignment vertical="top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wrapText="1"/>
    </x:xf>
    <x:xf numFmtId="0" fontId="17" fillId="12" borderId="0" xfId="0" applyNumberFormat="1" applyFont="1" applyFill="1" applyBorder="1" applyAlignment="1">
      <x:alignment horizontal="center" wrapText="1"/>
    </x:xf>
    <x:xf numFmtId="0" fontId="17" fillId="12" borderId="0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/>
    <x:xf numFmtId="0" fontId="18" fillId="0" xfId="0" applyNumberFormat="1" applyFont="1" applyFill="1" applyBorder="0"/>
    <x:xf numFmtId="0" fontId="18" fillId="0" borderId="4" xfId="0" applyNumberFormat="1" applyFont="1" applyFill="1" applyBorder="1"/>
    <x:xf numFmtId="0" fontId="18" fillId="0" xfId="0" applyNumberFormat="1" applyFont="1" applyFill="1" applyBorder="0" applyAlignment="1">
      <x:alignment wrapText="1"/>
    </x:xf>
    <x:xf numFmtId="0" fontId="18" fillId="0" borderId="4" xfId="0" applyNumberFormat="1" applyFont="1" applyFill="1" applyBorder="1" applyAlignment="1">
      <x:alignment wrapText="1"/>
    </x:xf>
    <x:xf numFmtId="0" fontId="18" fillId="0" xfId="0" applyNumberFormat="1" applyFont="1" applyFill="1" applyBorder="0" applyAlignment="1">
      <x:alignment vertical="top" wrapText="1"/>
    </x:xf>
    <x:xf numFmtId="0" fontId="18" fillId="0" borderId="4" xfId="0" applyNumberFormat="1" applyFont="1" applyFill="1" applyBorder="1" applyAlignment="1">
      <x:alignment vertical="top" wrapText="1"/>
    </x:xf>
    <x:xf numFmtId="0" fontId="18" fillId="13" xfId="0" applyNumberFormat="1" applyFont="1" applyFill="1" applyBorder="0" applyAlignment="1">
      <x:alignment vertical="top" wrapText="1"/>
    </x:xf>
    <x:xf numFmtId="0" fontId="18" fillId="13" borderId="4" xfId="0" applyNumberFormat="1" applyFont="1" applyFill="1" applyBorder="1" applyAlignment="1">
      <x:alignment vertical="top" wrapText="1"/>
    </x:xf>
    <x:xf numFmtId="0" fontId="19" fillId="13" xfId="0" applyNumberFormat="1" applyFont="1" applyFill="1" applyBorder="0" applyAlignment="1">
      <x:alignment vertical="top" wrapText="1"/>
    </x:xf>
    <x:xf numFmtId="0" fontId="19" fillId="0" xfId="0" applyNumberFormat="1" applyFont="1" applyFill="1" applyBorder="0" applyAlignment="1">
      <x:alignment vertical="top" wrapText="1"/>
    </x:xf>
    <x:xf numFmtId="0" fontId="19" fillId="13" borderId="4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vertical="top" wrapText="1"/>
    </x:xf>
    <x:xf numFmtId="0" fontId="20" fillId="0" xfId="0" applyNumberFormat="1" applyFont="1" applyFill="1" applyBorder="0" applyAlignment="1">
      <x:alignment vertical="top" wrapText="1"/>
    </x:xf>
    <x:xf numFmtId="0" fontId="20" fillId="0" borderId="4" xfId="0" applyNumberFormat="1" applyFont="1" applyFill="1" applyBorder="1" applyAlignment="1">
      <x:alignment vertical="top" wrapText="1"/>
    </x:xf>
    <x:xf numFmtId="209" fontId="18" fillId="0" xfId="0" applyNumberFormat="1" applyFont="1" applyFill="1" applyBorder="0" applyAlignment="1">
      <x:alignment vertical="top" wrapText="1"/>
    </x:xf>
    <x:xf numFmtId="209" fontId="18" fillId="0" borderId="4" xfId="0" applyNumberFormat="1" applyFont="1" applyFill="1" applyBorder="1" applyAlignment="1">
      <x:alignment vertical="top" wrapText="1"/>
    </x:xf>
    <x:xf numFmtId="0" fontId="21" fillId="5" borderId="1" xfId="0" applyNumberFormat="1" applyFont="1" applyFill="1" applyBorder="1" applyAlignment="1">
      <x:alignment vertical="center" wrapText="1"/>
    </x:xf>
    <x:xf numFmtId="0" fontId="21" fillId="5" borderId="3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204" fontId="12" fillId="0" borderId="4" xfId="0" applyNumberFormat="1" applyFont="1" applyFill="1" applyBorder="1" applyAlignment="1">
      <x:alignment vertical="top"/>
    </x:xf>
    <x:xf numFmtId="205" fontId="12" fillId="0" borderId="4" xfId="0" applyNumberFormat="1" applyFont="1" applyFill="1" applyBorder="1" applyAlignment="1">
      <x:alignment vertical="top"/>
    </x:xf>
    <x:xf numFmtId="206" fontId="12" fillId="0" borderId="4" xfId="0" applyNumberFormat="1" applyFont="1" applyFill="1" applyBorder="1" applyAlignment="1">
      <x:alignment vertical="top"/>
    </x:xf>
    <x:xf numFmtId="204" fontId="12" fillId="0" borderId="5" xfId="0" applyNumberFormat="1" applyFont="1" applyFill="1" applyBorder="1" applyAlignment="1">
      <x:alignment vertical="top"/>
    </x:xf>
    <x:xf numFmtId="205" fontId="12" fillId="0" borderId="5" xfId="0" applyNumberFormat="1" applyFont="1" applyFill="1" applyBorder="1" applyAlignment="1">
      <x:alignment vertical="top"/>
    </x:xf>
    <x:xf numFmtId="206" fontId="12" fillId="0" borderId="5" xfId="0" applyNumberFormat="1" applyFont="1" applyFill="1" applyBorder="1" applyAlignment="1">
      <x:alignment vertical="top"/>
    </x:xf>
    <x:xf numFmtId="204" fontId="12" fillId="0" borderId="6" xfId="0" applyNumberFormat="1" applyFont="1" applyFill="1" applyBorder="1" applyAlignment="1">
      <x:alignment vertical="top"/>
    </x:xf>
    <x:xf numFmtId="205" fontId="12" fillId="0" borderId="6" xfId="0" applyNumberFormat="1" applyFont="1" applyFill="1" applyBorder="1" applyAlignment="1">
      <x:alignment vertical="top"/>
    </x:xf>
    <x:xf numFmtId="206" fontId="12" fillId="0" borderId="6" xfId="0" applyNumberFormat="1" applyFont="1" applyFill="1" applyBorder="1" applyAlignment="1">
      <x:alignment vertical="top"/>
    </x:xf>
    <x:xf numFmtId="207" fontId="12" fillId="6" borderId="4" xfId="0" applyNumberFormat="1" applyFont="1" applyFill="1" applyBorder="1" applyAlignment="1">
      <x:alignment vertical="top"/>
    </x:xf>
    <x:xf numFmtId="207" fontId="12" fillId="0" borderId="4" xfId="0" applyNumberFormat="1" applyFont="1" applyFill="1" applyBorder="1" applyAlignment="1">
      <x:alignment vertical="top"/>
    </x:xf>
    <x:xf numFmtId="0" fontId="12" fillId="7" borderId="4" xfId="0" applyNumberFormat="1" applyFont="1" applyFill="1" applyBorder="1" applyAlignment="1">
      <x:alignment vertical="top"/>
    </x:xf>
    <x:xf numFmtId="207" fontId="12" fillId="6" borderId="5" xfId="0" applyNumberFormat="1" applyFont="1" applyFill="1" applyBorder="1" applyAlignment="1">
      <x:alignment vertical="top"/>
    </x:xf>
    <x:xf numFmtId="207" fontId="12" fillId="0" borderId="5" xfId="0" applyNumberFormat="1" applyFont="1" applyFill="1" applyBorder="1" applyAlignment="1">
      <x:alignment vertical="top"/>
    </x:xf>
    <x:xf numFmtId="0" fontId="12" fillId="7" borderId="5" xfId="0" applyNumberFormat="1" applyFont="1" applyFill="1" applyBorder="1" applyAlignment="1">
      <x:alignment vertical="top"/>
    </x:xf>
    <x:xf numFmtId="207" fontId="12" fillId="6" borderId="6" xfId="0" applyNumberFormat="1" applyFont="1" applyFill="1" applyBorder="1" applyAlignment="1">
      <x:alignment vertical="top"/>
    </x:xf>
    <x:xf numFmtId="207" fontId="12" fillId="0" borderId="6" xfId="0" applyNumberFormat="1" applyFont="1" applyFill="1" applyBorder="1" applyAlignment="1">
      <x:alignment vertical="top"/>
    </x:xf>
    <x:xf numFmtId="0" fontId="12" fillId="7" borderId="6" xfId="0" applyNumberFormat="1" applyFont="1" applyFill="1" applyBorder="1" applyAlignment="1">
      <x:alignment vertical="top"/>
    </x:xf>
    <x:xf numFmtId="0" fontId="11" fillId="0" borderId="4" xfId="0" applyNumberFormat="1" applyFont="1" applyFill="1" applyBorder="1" applyAlignment="1">
      <x:alignment vertical="top"/>
    </x:xf>
    <x:xf numFmtId="0" fontId="11" fillId="0" borderId="5" xfId="0" applyNumberFormat="1" applyFont="1" applyFill="1" applyBorder="1" applyAlignment="1">
      <x:alignment vertical="top"/>
    </x:xf>
    <x:xf numFmtId="0" fontId="11" fillId="0" borderId="6" xfId="0" applyNumberFormat="1" applyFont="1" applyFill="1" applyBorder="1" applyAlignment="1">
      <x:alignment vertical="top"/>
    </x:xf>
    <x:xf numFmtId="0" fontId="15" fillId="14" borderId="0" xfId="0" applyNumberFormat="1" applyFont="1" applyFill="1" applyBorder="1"/>
    <x:xf numFmtId="0" fontId="22" fillId="14" borderId="0" xfId="0" applyNumberFormat="1" applyFont="1" applyFill="1" applyBorder="1"/>
    <x:xf numFmtId="0" fontId="22" fillId="14" borderId="0" xfId="0" applyNumberFormat="1" applyFont="1" applyFill="1" applyBorder="1" applyAlignment="1">
      <x:alignment wrapText="1"/>
    </x:xf>
    <x:xf numFmtId="207" fontId="13" fillId="0" borderId="4" xfId="0" applyNumberFormat="1" applyFont="1" applyFill="1" applyBorder="1" applyAlignment="1">
      <x:alignment vertical="top"/>
    </x:xf>
    <x:xf numFmtId="207" fontId="13" fillId="0" borderId="5" xfId="0" applyNumberFormat="1" applyFont="1" applyFill="1" applyBorder="1" applyAlignment="1">
      <x:alignment vertical="top"/>
    </x:xf>
    <x:xf numFmtId="207" fontId="13" fillId="0" borderId="6" xfId="0" applyNumberFormat="1" applyFont="1" applyFill="1" applyBorder="1" applyAlignment="1">
      <x:alignment vertical="top"/>
    </x:xf>
    <x:xf numFmtId="0" fontId="22" fillId="6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17" fillId="17" borderId="0" xfId="0" applyNumberFormat="1" applyFont="1" applyFill="1" applyBorder="1"/>
    <x:xf numFmtId="0" fontId="17" fillId="17" borderId="0" xfId="0" applyNumberFormat="1" applyFont="1" applyFill="1" applyBorder="1" applyAlignment="1">
      <x:alignment wrapText="1"/>
    </x:xf>
    <x:xf numFmtId="0" fontId="17" fillId="17" borderId="0" xfId="0" applyNumberFormat="1" applyFont="1" applyFill="1" applyBorder="1" applyAlignment="1">
      <x:alignment horizontal="center" wrapText="1"/>
    </x:xf>
    <x:xf numFmtId="0" fontId="17" fillId="17" borderId="0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xfId="0" applyNumberFormat="1" applyFont="1" applyFill="1" applyBorder="0"/>
    <x:xf numFmtId="0" fontId="23" fillId="0" borderId="4" xfId="0" applyNumberFormat="1" applyFont="1" applyFill="1" applyBorder="1"/>
    <x:xf numFmtId="0" fontId="23" fillId="0" xfId="0" applyNumberFormat="1" applyFont="1" applyFill="1" applyBorder="0" applyAlignment="1">
      <x:alignment vertical="top"/>
    </x:xf>
    <x:xf numFmtId="0" fontId="23" fillId="0" borderId="4" xfId="0" applyNumberFormat="1" applyFont="1" applyFill="1" applyBorder="1" applyAlignment="1">
      <x:alignment vertical="top"/>
    </x:xf>
    <x:xf numFmtId="0" fontId="24" fillId="0" xfId="0" applyNumberFormat="1" applyFont="1" applyFill="1" applyBorder="0" applyAlignment="1">
      <x:alignment vertical="top"/>
    </x:xf>
    <x:xf numFmtId="0" fontId="24" fillId="0" borderId="4" xfId="0" applyNumberFormat="1" applyFont="1" applyFill="1" applyBorder="1" applyAlignment="1">
      <x:alignment vertical="top"/>
    </x:xf>
    <x:xf numFmtId="0" fontId="25" fillId="0" xfId="0" applyNumberFormat="1" applyFont="1" applyFill="1" applyBorder="0" applyAlignment="1">
      <x:alignment vertical="top"/>
    </x:xf>
    <x:xf numFmtId="0" fontId="25" fillId="0" borderId="4" xfId="0" applyNumberFormat="1" applyFont="1" applyFill="1" applyBorder="1" applyAlignment="1">
      <x:alignment vertical="top"/>
    </x:xf>
    <x:xf numFmtId="210" fontId="24" fillId="0" xfId="0" applyNumberFormat="1" applyFont="1" applyFill="1" applyBorder="0" applyAlignment="1">
      <x:alignment vertical="top"/>
    </x:xf>
    <x:xf numFmtId="210" fontId="24" fillId="0" borderId="4" xfId="0" applyNumberFormat="1" applyFont="1" applyFill="1" applyBorder="1" applyAlignment="1">
      <x:alignment vertical="top"/>
    </x:xf>
    <x:xf numFmtId="200" fontId="25" fillId="0" xfId="0" applyNumberFormat="1" applyFont="1" applyFill="1" applyBorder="0" applyAlignment="1">
      <x:alignment vertical="top"/>
    </x:xf>
    <x:xf numFmtId="200" fontId="25" fillId="0" borderId="4" xfId="0" applyNumberFormat="1" applyFont="1" applyFill="1" applyBorder="1" applyAlignment="1">
      <x:alignment vertical="top"/>
    </x:xf>
    <x:xf numFmtId="201" fontId="24" fillId="0" xfId="0" applyNumberFormat="1" applyFont="1" applyFill="1" applyBorder="0" applyAlignment="1">
      <x:alignment vertical="top"/>
    </x:xf>
    <x:xf numFmtId="201" fontId="24" fillId="0" borderId="4" xfId="0" applyNumberFormat="1" applyFont="1" applyFill="1" applyBorder="1" applyAlignment="1">
      <x:alignment vertical="top"/>
    </x:xf>
    <x:xf numFmtId="211" fontId="24" fillId="0" xfId="0" applyNumberFormat="1" applyFont="1" applyFill="1" applyBorder="0" applyAlignment="1">
      <x:alignment vertical="top"/>
    </x:xf>
    <x:xf numFmtId="211" fontId="24" fillId="0" borderId="4" xfId="0" applyNumberFormat="1" applyFont="1" applyFill="1" applyBorder="1" applyAlignment="1">
      <x:alignment vertical="top"/>
    </x:xf>
    <x:xf numFmtId="212" fontId="23" fillId="0" xfId="0" applyNumberFormat="1" applyFont="1" applyFill="1" applyBorder="0" applyAlignment="1">
      <x:alignment vertical="top"/>
    </x:xf>
    <x:xf numFmtId="212" fontId="23" fillId="0" borderId="4" xfId="0" applyNumberFormat="1" applyFont="1" applyFill="1" applyBorder="1" applyAlignment="1">
      <x:alignment vertical="top"/>
    </x:xf>
    <x:xf numFmtId="206" fontId="23" fillId="0" xfId="0" applyNumberFormat="1" applyFont="1" applyFill="1" applyBorder="0" applyAlignment="1">
      <x:alignment vertical="top"/>
    </x:xf>
    <x:xf numFmtId="206" fontId="23" fillId="0" borderId="4" xfId="0" applyNumberFormat="1" applyFont="1" applyFill="1" applyBorder="1" applyAlignment="1">
      <x:alignment vertical="top"/>
    </x:xf>
    <x:xf numFmtId="205" fontId="23" fillId="0" xfId="0" applyNumberFormat="1" applyFont="1" applyFill="1" applyBorder="0" applyAlignment="1">
      <x:alignment vertical="top"/>
    </x:xf>
    <x:xf numFmtId="205" fontId="23" fillId="0" borderId="4" xfId="0" applyNumberFormat="1" applyFont="1" applyFill="1" applyBorder="1" applyAlignment="1">
      <x:alignment vertical="top"/>
    </x:xf>
    <x:xf numFmtId="213" fontId="23" fillId="0" xfId="0" applyNumberFormat="1" applyFont="1" applyFill="1" applyBorder="0" applyAlignment="1">
      <x:alignment vertical="top"/>
    </x:xf>
    <x:xf numFmtId="213" fontId="23" fillId="0" borderId="4" xfId="0" applyNumberFormat="1" applyFont="1" applyFill="1" applyBorder="1" applyAlignment="1">
      <x:alignment vertical="top"/>
    </x:xf>
    <x:xf numFmtId="208" fontId="25" fillId="0" xfId="0" applyNumberFormat="1" applyFont="1" applyFill="1" applyBorder="0" applyAlignment="1">
      <x:alignment vertical="top"/>
    </x:xf>
    <x:xf numFmtId="200" fontId="23" fillId="0" xfId="0" applyNumberFormat="1" applyFont="1" applyFill="1" applyBorder="0" applyAlignment="1">
      <x:alignment vertical="top"/>
    </x:xf>
    <x:xf numFmtId="200" fontId="23" fillId="0" borderId="4" xfId="0" applyNumberFormat="1" applyFont="1" applyFill="1" applyBorder="1" applyAlignment="1">
      <x:alignment vertical="top"/>
    </x:xf>
    <x:xf numFmtId="201" fontId="23" fillId="0" xfId="0" applyNumberFormat="1" applyFont="1" applyFill="1" applyBorder="0" applyAlignment="1">
      <x:alignment vertical="top"/>
    </x:xf>
    <x:xf numFmtId="201" fontId="23" fillId="0" borderId="4" xfId="0" applyNumberFormat="1" applyFont="1" applyFill="1" applyBorder="1" applyAlignment="1">
      <x:alignment vertical="top"/>
    </x:xf>
    <x:xf numFmtId="210" fontId="23" fillId="0" xfId="0" applyNumberFormat="1" applyFont="1" applyFill="1" applyBorder="0" applyAlignment="1">
      <x:alignment vertical="top"/>
    </x:xf>
    <x:xf numFmtId="210" fontId="23" fillId="0" borderId="4" xfId="0" applyNumberFormat="1" applyFont="1" applyFill="1" applyBorder="1" applyAlignment="1">
      <x:alignment vertical="top"/>
    </x:xf>
    <x:xf numFmtId="208" fontId="24" fillId="0" xfId="0" applyNumberFormat="1" applyFont="1" applyFill="1" applyBorder="0" applyAlignment="1">
      <x:alignment vertical="top"/>
    </x:xf>
    <x:xf numFmtId="208" fontId="24" fillId="0" borderId="4" xfId="0" applyNumberFormat="1" applyFont="1" applyFill="1" applyBorder="1" applyAlignment="1">
      <x:alignment vertical="top"/>
    </x:xf>
    <x:xf numFmtId="214" fontId="25" fillId="0" xfId="0" applyNumberFormat="1" applyFont="1" applyFill="1" applyBorder="0" applyAlignment="1">
      <x:alignment vertical="top"/>
    </x:xf>
    <x:xf numFmtId="214" fontId="25" fillId="0" borderId="4" xfId="0" applyNumberFormat="1" applyFont="1" applyFill="1" applyBorder="1" applyAlignment="1">
      <x:alignment vertical="top"/>
    </x:xf>
    <x:xf numFmtId="201" fontId="25" fillId="0" xfId="0" applyNumberFormat="1" applyFont="1" applyFill="1" applyBorder="0" applyAlignment="1">
      <x:alignment vertical="top"/>
    </x:xf>
    <x:xf numFmtId="201" fontId="25" fillId="0" borderId="4" xfId="0" applyNumberFormat="1" applyFont="1" applyFill="1" applyBorder="1" applyAlignment="1">
      <x:alignment vertical="top"/>
    </x:xf>
    <x:xf numFmtId="213" fontId="25" fillId="0" xfId="0" applyNumberFormat="1" applyFont="1" applyFill="1" applyBorder="0" applyAlignment="1">
      <x:alignment vertical="top"/>
    </x:xf>
    <x:xf numFmtId="213" fontId="25" fillId="0" borderId="4" xfId="0" applyNumberFormat="1" applyFont="1" applyFill="1" applyBorder="1" applyAlignment="1">
      <x:alignment vertical="top"/>
    </x:xf>
    <x:xf numFmtId="206" fontId="25" fillId="0" xfId="0" applyNumberFormat="1" applyFont="1" applyFill="1" applyBorder="0" applyAlignment="1">
      <x:alignment vertical="top"/>
    </x:xf>
    <x:xf numFmtId="206" fontId="25" fillId="0" borderId="4" xfId="0" applyNumberFormat="1" applyFont="1" applyFill="1" applyBorder="1" applyAlignment="1">
      <x:alignment vertical="top"/>
    </x:xf>
    <x:xf numFmtId="205" fontId="25" fillId="0" xfId="0" applyNumberFormat="1" applyFont="1" applyFill="1" applyBorder="0" applyAlignment="1">
      <x:alignment vertical="top"/>
    </x:xf>
    <x:xf numFmtId="205" fontId="25" fillId="0" borderId="4" xfId="0" applyNumberFormat="1" applyFont="1" applyFill="1" applyBorder="1" applyAlignment="1">
      <x:alignment vertical="top"/>
    </x:xf>
    <x:xf numFmtId="212" fontId="25" fillId="0" xfId="0" applyNumberFormat="1" applyFont="1" applyFill="1" applyBorder="0" applyAlignment="1">
      <x:alignment vertical="top"/>
    </x:xf>
    <x:xf numFmtId="212" fontId="25" fillId="0" borderId="4" xfId="0" applyNumberFormat="1" applyFont="1" applyFill="1" applyBorder="1" applyAlignment="1">
      <x:alignment vertical="top"/>
    </x:xf>
    <x:xf numFmtId="0" fontId="25" fillId="18" xfId="0" applyNumberFormat="1" applyFont="1" applyFill="1" applyBorder="0" applyAlignment="1">
      <x:alignment vertical="top"/>
    </x:xf>
    <x:xf numFmtId="0" fontId="25" fillId="18" borderId="4" xfId="0" applyNumberFormat="1" applyFont="1" applyFill="1" applyBorder="1" applyAlignment="1">
      <x:alignment vertical="top"/>
    </x:xf>
    <x:xf numFmtId="0" fontId="7" fillId="15" borderId="0" xfId="0" applyNumberFormat="1" applyFont="1" applyFill="1" applyBorder="1" applyAlignment="1">
      <x:alignment vertical="center"/>
    </x:xf>
    <x:xf numFmtId="0" fontId="8" fillId="16" borderId="0" xfId="0" applyNumberFormat="1" applyFont="1" applyFill="1" applyBorder="1" applyAlignment="1">
      <x:alignment wrapText="1"/>
    </x:xf>
    <x:xf numFmtId="0" fontId="26" fillId="16" borderId="0" xfId="0" applyNumberFormat="1" applyFont="1" applyFill="1" applyBorder="1" applyAlignment="1">
      <x:alignment wrapText="1"/>
    </x:xf>
    <x:xf numFmtId="0" fontId="11" fillId="17" borderId="1" xfId="0" applyNumberFormat="1" applyFont="1" applyFill="1" applyBorder="1" applyAlignment="1">
      <x:alignment vertical="center" wrapText="1"/>
    </x:xf>
    <x:xf numFmtId="0" fontId="11" fillId="17" borderId="2" xfId="0" applyNumberFormat="1" applyFont="1" applyFill="1" applyBorder="1" applyAlignment="1">
      <x:alignment vertical="center" wrapText="1"/>
    </x:xf>
    <x:xf numFmtId="0" fontId="11" fillId="17" borderId="3" xfId="0" applyNumberFormat="1" applyFont="1" applyFill="1" applyBorder="1" applyAlignment="1">
      <x:alignment vertical="center" wrapText="1"/>
    </x:xf>
    <x:xf numFmtId="0" fontId="27" fillId="17" borderId="1" xfId="0" applyNumberFormat="1" applyFont="1" applyFill="1" applyBorder="1" applyAlignment="1">
      <x:alignment vertical="center" wrapText="1"/>
    </x:xf>
    <x:xf numFmtId="0" fontId="27" fillId="17" borderId="2" xfId="0" applyNumberFormat="1" applyFont="1" applyFill="1" applyBorder="1" applyAlignment="1">
      <x:alignment vertical="center" wrapText="1"/>
    </x:xf>
    <x:xf numFmtId="0" fontId="27" fillId="17" borderId="3" xfId="0" applyNumberFormat="1" applyFont="1" applyFill="1" applyBorder="1" applyAlignment="1">
      <x:alignment vertical="center" wrapText="1"/>
    </x:xf>
    <x:xf numFmtId="0" fontId="27" fillId="17" borderId="1" xfId="0" applyNumberFormat="1" applyFont="1" applyFill="1" applyBorder="1" applyAlignment="1">
      <x:alignment horizontal="center" vertical="center" wrapText="1"/>
    </x:xf>
    <x:xf numFmtId="0" fontId="27" fillId="17" borderId="2" xfId="0" applyNumberFormat="1" applyFont="1" applyFill="1" applyBorder="1" applyAlignment="1">
      <x:alignment horizontal="center" vertical="center" wrapText="1"/>
    </x:xf>
    <x:xf numFmtId="0" fontId="27" fillId="17" borderId="3" xfId="0" applyNumberFormat="1" applyFont="1" applyFill="1" applyBorder="1" applyAlignment="1">
      <x:alignment horizontal="center" vertical="center" wrapText="1"/>
    </x:xf>
    <x:xf numFmtId="0" fontId="28" fillId="0" borderId="4" xfId="0" applyNumberFormat="1" applyFont="1" applyFill="1" applyBorder="1" applyAlignment="1">
      <x:alignment vertical="top"/>
    </x:xf>
    <x:xf numFmtId="204" fontId="28" fillId="0" borderId="4" xfId="0" applyNumberFormat="1" applyFont="1" applyFill="1" applyBorder="1" applyAlignment="1">
      <x:alignment vertical="top"/>
    </x:xf>
    <x:xf numFmtId="201" fontId="28" fillId="0" borderId="4" xfId="0" applyNumberFormat="1" applyFont="1" applyFill="1" applyBorder="1" applyAlignment="1">
      <x:alignment vertical="top"/>
    </x:xf>
    <x:xf numFmtId="0" fontId="28" fillId="9" borderId="4" xfId="0" applyNumberFormat="1" applyFont="1" applyFill="1" applyBorder="1" applyAlignment="1">
      <x:alignment vertical="top"/>
    </x:xf>
    <x:xf numFmtId="0" fontId="28" fillId="8" borderId="4" xfId="0" applyNumberFormat="1" applyFont="1" applyFill="1" applyBorder="1" applyAlignment="1">
      <x:alignment vertical="top"/>
    </x:xf>
    <x:xf numFmtId="0" fontId="28" fillId="0" borderId="5" xfId="0" applyNumberFormat="1" applyFont="1" applyFill="1" applyBorder="1" applyAlignment="1">
      <x:alignment vertical="top"/>
    </x:xf>
    <x:xf numFmtId="204" fontId="28" fillId="0" borderId="5" xfId="0" applyNumberFormat="1" applyFont="1" applyFill="1" applyBorder="1" applyAlignment="1">
      <x:alignment vertical="top"/>
    </x:xf>
    <x:xf numFmtId="201" fontId="28" fillId="0" borderId="5" xfId="0" applyNumberFormat="1" applyFont="1" applyFill="1" applyBorder="1" applyAlignment="1">
      <x:alignment vertical="top"/>
    </x:xf>
    <x:xf numFmtId="0" fontId="28" fillId="9" borderId="5" xfId="0" applyNumberFormat="1" applyFont="1" applyFill="1" applyBorder="1" applyAlignment="1">
      <x:alignment vertical="top"/>
    </x:xf>
    <x:xf numFmtId="0" fontId="28" fillId="8" borderId="5" xfId="0" applyNumberFormat="1" applyFont="1" applyFill="1" applyBorder="1" applyAlignment="1">
      <x:alignment vertical="top"/>
    </x:xf>
    <x:xf numFmtId="0" fontId="28" fillId="0" borderId="6" xfId="0" applyNumberFormat="1" applyFont="1" applyFill="1" applyBorder="1" applyAlignment="1">
      <x:alignment vertical="top"/>
    </x:xf>
    <x:xf numFmtId="204" fontId="28" fillId="0" borderId="6" xfId="0" applyNumberFormat="1" applyFont="1" applyFill="1" applyBorder="1" applyAlignment="1">
      <x:alignment vertical="top"/>
    </x:xf>
    <x:xf numFmtId="201" fontId="28" fillId="0" borderId="6" xfId="0" applyNumberFormat="1" applyFont="1" applyFill="1" applyBorder="1" applyAlignment="1">
      <x:alignment vertical="top"/>
    </x:xf>
    <x:xf numFmtId="0" fontId="28" fillId="9" borderId="6" xfId="0" applyNumberFormat="1" applyFont="1" applyFill="1" applyBorder="1" applyAlignment="1">
      <x:alignment vertical="top"/>
    </x:xf>
    <x:xf numFmtId="0" fontId="28" fillId="8" borderId="6" xfId="0" applyNumberFormat="1" applyFont="1" applyFill="1" applyBorder="1" applyAlignment="1">
      <x:alignment vertical="top"/>
    </x:xf>
    <x:xf numFmtId="0" fontId="29" fillId="0" borderId="4" xfId="0" applyNumberFormat="1" applyFont="1" applyFill="1" applyBorder="1" applyAlignment="1">
      <x:alignment vertical="top"/>
    </x:xf>
    <x:xf numFmtId="204" fontId="29" fillId="0" borderId="4" xfId="0" applyNumberFormat="1" applyFont="1" applyFill="1" applyBorder="1" applyAlignment="1">
      <x:alignment vertical="top"/>
    </x:xf>
    <x:xf numFmtId="201" fontId="29" fillId="0" borderId="4" xfId="0" applyNumberFormat="1" applyFont="1" applyFill="1" applyBorder="1" applyAlignment="1">
      <x:alignment vertical="top"/>
    </x:xf>
    <x:xf numFmtId="0" fontId="29" fillId="9" borderId="4" xfId="0" applyNumberFormat="1" applyFont="1" applyFill="1" applyBorder="1" applyAlignment="1">
      <x:alignment vertical="top"/>
    </x:xf>
    <x:xf numFmtId="0" fontId="29" fillId="8" borderId="4" xfId="0" applyNumberFormat="1" applyFont="1" applyFill="1" applyBorder="1" applyAlignment="1">
      <x:alignment vertical="top"/>
    </x:xf>
    <x:xf numFmtId="0" fontId="29" fillId="0" borderId="5" xfId="0" applyNumberFormat="1" applyFont="1" applyFill="1" applyBorder="1" applyAlignment="1">
      <x:alignment vertical="top"/>
    </x:xf>
    <x:xf numFmtId="204" fontId="29" fillId="0" borderId="5" xfId="0" applyNumberFormat="1" applyFont="1" applyFill="1" applyBorder="1" applyAlignment="1">
      <x:alignment vertical="top"/>
    </x:xf>
    <x:xf numFmtId="201" fontId="29" fillId="0" borderId="5" xfId="0" applyNumberFormat="1" applyFont="1" applyFill="1" applyBorder="1" applyAlignment="1">
      <x:alignment vertical="top"/>
    </x:xf>
    <x:xf numFmtId="0" fontId="29" fillId="9" borderId="5" xfId="0" applyNumberFormat="1" applyFont="1" applyFill="1" applyBorder="1" applyAlignment="1">
      <x:alignment vertical="top"/>
    </x:xf>
    <x:xf numFmtId="0" fontId="29" fillId="8" borderId="5" xfId="0" applyNumberFormat="1" applyFont="1" applyFill="1" applyBorder="1" applyAlignment="1">
      <x:alignment vertical="top"/>
    </x:xf>
    <x:xf numFmtId="212" fontId="29" fillId="0" borderId="4" xfId="0" applyNumberFormat="1" applyFont="1" applyFill="1" applyBorder="1" applyAlignment="1">
      <x:alignment vertical="top"/>
    </x:xf>
    <x:xf numFmtId="212" fontId="29" fillId="0" borderId="5" xfId="0" applyNumberFormat="1" applyFont="1" applyFill="1" applyBorder="1" applyAlignment="1">
      <x:alignment vertical="top"/>
    </x:xf>
    <x:xf numFmtId="206" fontId="29" fillId="0" borderId="4" xfId="0" applyNumberFormat="1" applyFont="1" applyFill="1" applyBorder="1" applyAlignment="1">
      <x:alignment vertical="top"/>
    </x:xf>
    <x:xf numFmtId="206" fontId="29" fillId="0" borderId="5" xfId="0" applyNumberFormat="1" applyFont="1" applyFill="1" applyBorder="1" applyAlignment="1">
      <x:alignment vertical="top"/>
    </x:xf>
    <x:xf numFmtId="205" fontId="29" fillId="0" borderId="4" xfId="0" applyNumberFormat="1" applyFont="1" applyFill="1" applyBorder="1" applyAlignment="1">
      <x:alignment vertical="top"/>
    </x:xf>
    <x:xf numFmtId="205" fontId="29" fillId="9" borderId="4" xfId="0" applyNumberFormat="1" applyFont="1" applyFill="1" applyBorder="1" applyAlignment="1">
      <x:alignment vertical="top"/>
    </x:xf>
    <x:xf numFmtId="205" fontId="29" fillId="0" borderId="5" xfId="0" applyNumberFormat="1" applyFont="1" applyFill="1" applyBorder="1" applyAlignment="1">
      <x:alignment vertical="top"/>
    </x:xf>
    <x:xf numFmtId="205" fontId="29" fillId="9" borderId="5" xfId="0" applyNumberFormat="1" applyFont="1" applyFill="1" applyBorder="1" applyAlignment="1">
      <x:alignment vertical="top"/>
    </x:xf>
    <x:xf numFmtId="0" fontId="29" fillId="18" borderId="4" xfId="0" applyNumberFormat="1" applyFont="1" applyFill="1" applyBorder="1" applyAlignment="1">
      <x:alignment vertical="top"/>
    </x:xf>
    <x:xf numFmtId="0" fontId="29" fillId="18" borderId="5" xfId="0" applyNumberFormat="1" applyFont="1" applyFill="1" applyBorder="1" applyAlignment="1">
      <x:alignment vertical="top"/>
    </x:xf>
    <x:xf numFmtId="0" fontId="25" fillId="0" borderId="0" xfId="0" applyNumberFormat="1" applyFont="1" applyFill="1" applyBorder="1"/>
    <x:xf numFmtId="201" fontId="25" fillId="0" borderId="0" xfId="0" applyNumberFormat="1" applyFont="1" applyFill="1" applyBorder="1"/>
    <x:xf numFmtId="0" fontId="22" fillId="18" borderId="0" xfId="0" applyNumberFormat="1" applyFont="1" applyFill="1" applyBorder="1" applyAlignment="1">
      <x:alignment wrapText="1"/>
    </x:xf>
    <x:xf numFmtId="0" fontId="30" fillId="18" borderId="0" xfId="0" applyNumberFormat="1" applyFont="1" applyFill="1" applyBorder="1" applyAlignment="1">
      <x:alignment wrapText="1"/>
    </x:xf>
    <x:xf numFmtId="0" fontId="9" fillId="18" borderId="4" xfId="0" applyNumberFormat="1" applyFont="1" applyFill="1" applyBorder="1" applyAlignment="1">
      <x:alignment vertical="top"/>
    </x:xf>
    <x:xf numFmtId="0" fontId="9" fillId="18" borderId="5" xfId="0" applyNumberFormat="1" applyFont="1" applyFill="1" applyBorder="1" applyAlignment="1">
      <x:alignment vertical="top"/>
    </x:xf>
    <x:xf numFmtId="0" fontId="9" fillId="18" borderId="6" xfId="0" applyNumberFormat="1" applyFont="1" applyFill="1" applyBorder="1" applyAlignment="1">
      <x:alignment vertical="top"/>
    </x:xf>
    <x:xf numFmtId="0" fontId="29" fillId="0" borderId="6" xfId="0" applyNumberFormat="1" applyFont="1" applyFill="1" applyBorder="1" applyAlignment="1">
      <x:alignment vertical="top"/>
    </x:xf>
    <x:xf numFmtId="215" fontId="29" fillId="0" borderId="5" xfId="0" applyNumberFormat="1" applyFont="1" applyFill="1" applyBorder="1" applyAlignment="1">
      <x:alignment vertical="top"/>
    </x:xf>
    <x:xf numFmtId="215" fontId="29" fillId="0" borderId="6" xfId="0" applyNumberFormat="1" applyFont="1" applyFill="1" applyBorder="1" applyAlignment="1">
      <x:alignment vertical="top"/>
    </x:xf>
    <x:xf numFmtId="0" fontId="7" fillId="15" borderId="0" xfId="0" applyNumberFormat="1" applyFont="1" applyFill="1" applyBorder="1" applyAlignment="1">
      <x:alignment vertical="center" wrapText="1"/>
    </x:xf>
    <x:xf numFmtId="0" fontId="29" fillId="0" borderId="4" xfId="0" applyNumberFormat="1" applyFont="1" applyFill="1" applyBorder="1" applyAlignment="1">
      <x:alignment vertical="top" wrapText="1"/>
    </x:xf>
    <x:xf numFmtId="212" fontId="29" fillId="0" borderId="4" xfId="0" applyNumberFormat="1" applyFont="1" applyFill="1" applyBorder="1" applyAlignment="1">
      <x:alignment vertical="top" wrapText="1"/>
    </x:xf>
    <x:xf numFmtId="201" fontId="29" fillId="0" borderId="4" xfId="0" applyNumberFormat="1" applyFont="1" applyFill="1" applyBorder="1" applyAlignment="1">
      <x:alignment vertical="top" wrapText="1"/>
    </x:xf>
    <x:xf numFmtId="206" fontId="29" fillId="0" borderId="4" xfId="0" applyNumberFormat="1" applyFont="1" applyFill="1" applyBorder="1" applyAlignment="1">
      <x:alignment vertical="top" wrapText="1"/>
    </x:xf>
    <x:xf numFmtId="205" fontId="29" fillId="0" borderId="4" xfId="0" applyNumberFormat="1" applyFont="1" applyFill="1" applyBorder="1" applyAlignment="1">
      <x:alignment vertical="top" wrapText="1"/>
    </x:xf>
    <x:xf numFmtId="205" fontId="29" fillId="9" borderId="4" xfId="0" applyNumberFormat="1" applyFont="1" applyFill="1" applyBorder="1" applyAlignment="1">
      <x:alignment vertical="top" wrapText="1"/>
    </x:xf>
    <x:xf numFmtId="0" fontId="29" fillId="18" borderId="4" xfId="0" applyNumberFormat="1" applyFont="1" applyFill="1" applyBorder="1" applyAlignment="1">
      <x:alignment vertical="top" wrapText="1"/>
    </x:xf>
    <x:xf numFmtId="0" fontId="29" fillId="0" borderId="5" xfId="0" applyNumberFormat="1" applyFont="1" applyFill="1" applyBorder="1" applyAlignment="1">
      <x:alignment vertical="top" wrapText="1"/>
    </x:xf>
    <x:xf numFmtId="212" fontId="29" fillId="0" borderId="5" xfId="0" applyNumberFormat="1" applyFont="1" applyFill="1" applyBorder="1" applyAlignment="1">
      <x:alignment vertical="top" wrapText="1"/>
    </x:xf>
    <x:xf numFmtId="201" fontId="29" fillId="0" borderId="5" xfId="0" applyNumberFormat="1" applyFont="1" applyFill="1" applyBorder="1" applyAlignment="1">
      <x:alignment vertical="top" wrapText="1"/>
    </x:xf>
    <x:xf numFmtId="206" fontId="29" fillId="0" borderId="5" xfId="0" applyNumberFormat="1" applyFont="1" applyFill="1" applyBorder="1" applyAlignment="1">
      <x:alignment vertical="top" wrapText="1"/>
    </x:xf>
    <x:xf numFmtId="205" fontId="29" fillId="0" borderId="5" xfId="0" applyNumberFormat="1" applyFont="1" applyFill="1" applyBorder="1" applyAlignment="1">
      <x:alignment vertical="top" wrapText="1"/>
    </x:xf>
    <x:xf numFmtId="205" fontId="29" fillId="9" borderId="5" xfId="0" applyNumberFormat="1" applyFont="1" applyFill="1" applyBorder="1" applyAlignment="1">
      <x:alignment vertical="top" wrapText="1"/>
    </x:xf>
    <x:xf numFmtId="0" fontId="29" fillId="18" borderId="5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wrapText="1"/>
    </x:xf>
    <x:xf numFmtId="0" fontId="25" fillId="0" xfId="0" applyNumberFormat="1" applyFont="1" applyFill="1" applyBorder="0" applyAlignment="1">
      <x:alignment vertical="top" wrapText="1"/>
    </x:xf>
    <x:xf numFmtId="212" fontId="25" fillId="0" xfId="0" applyNumberFormat="1" applyFont="1" applyFill="1" applyBorder="0" applyAlignment="1">
      <x:alignment vertical="top" wrapText="1"/>
    </x:xf>
    <x:xf numFmtId="201" fontId="25" fillId="0" xfId="0" applyNumberFormat="1" applyFont="1" applyFill="1" applyBorder="0" applyAlignment="1">
      <x:alignment vertical="top" wrapText="1"/>
    </x:xf>
    <x:xf numFmtId="0" fontId="25" fillId="0" borderId="4" xfId="0" applyNumberFormat="1" applyFont="1" applyFill="1" applyBorder="1" applyAlignment="1">
      <x:alignment vertical="top" wrapText="1"/>
    </x:xf>
    <x:xf numFmtId="212" fontId="25" fillId="0" borderId="4" xfId="0" applyNumberFormat="1" applyFont="1" applyFill="1" applyBorder="1" applyAlignment="1">
      <x:alignment vertical="top" wrapText="1"/>
    </x:xf>
    <x:xf numFmtId="201" fontId="25" fillId="0" borderId="4" xfId="0" applyNumberFormat="1" applyFont="1" applyFill="1" applyBorder="1" applyAlignment="1">
      <x:alignment vertical="top" wrapText="1"/>
    </x:xf>
    <x:xf numFmtId="0" fontId="25" fillId="0" borderId="0" xfId="0" applyNumberFormat="1" applyFont="1" applyFill="1" applyBorder="1" applyAlignment="1">
      <x:alignment wrapText="1"/>
    </x:xf>
    <x:xf numFmtId="201" fontId="25" fillId="0" borderId="0" xfId="0" applyNumberFormat="1" applyFont="1" applyFill="1" applyBorder="1" applyAlignment="1">
      <x:alignment wrapText="1"/>
    </x:xf>
    <x:xf numFmtId="0" fontId="28" fillId="0" borderId="4" xfId="0" applyNumberFormat="1" applyFont="1" applyFill="1" applyBorder="1" applyAlignment="1">
      <x:alignment vertical="top" wrapText="1"/>
    </x:xf>
    <x:xf numFmtId="0" fontId="28" fillId="0" borderId="5" xfId="0" applyNumberFormat="1" applyFont="1" applyFill="1" applyBorder="1" applyAlignment="1">
      <x:alignment vertical="top" wrapText="1"/>
    </x:xf>
    <x:xf numFmtId="215" fontId="29" fillId="0" borderId="5" xfId="0" applyNumberFormat="1" applyFont="1" applyFill="1" applyBorder="1" applyAlignment="1">
      <x:alignment vertical="top" wrapText="1"/>
    </x:xf>
    <x:xf numFmtId="0" fontId="28" fillId="0" borderId="6" xfId="0" applyNumberFormat="1" applyFont="1" applyFill="1" applyBorder="1" applyAlignment="1">
      <x:alignment vertical="top" wrapText="1"/>
    </x:xf>
    <x:xf numFmtId="215" fontId="29" fillId="0" borderId="6" xfId="0" applyNumberFormat="1" applyFont="1" applyFill="1" applyBorder="1" applyAlignment="1">
      <x:alignment vertical="top" wrapText="1"/>
    </x:xf>
    <x:xf numFmtId="0" fontId="29" fillId="0" borderId="6" xfId="0" applyNumberFormat="1" applyFont="1" applyFill="1" applyBorder="1" applyAlignment="1">
      <x:alignment vertical="top" wrapText="1"/>
    </x:xf>
    <x:xf numFmtId="0" fontId="23" fillId="0" xfId="0" applyNumberFormat="1" applyFont="1" applyFill="1" applyBorder="0" applyAlignment="1">
      <x:alignment vertical="top" wrapText="1"/>
    </x:xf>
    <x:xf numFmtId="0" fontId="2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6642da301450f" /><Relationship Type="http://schemas.openxmlformats.org/officeDocument/2006/relationships/theme" Target="/xl/theme/theme1.xml" Id="R110bac0cd2ef4143" /><Relationship Type="http://schemas.openxmlformats.org/officeDocument/2006/relationships/sharedStrings" Target="/xl/sharedStrings.xml" Id="R7f6af0481c684d95" /><Relationship Type="http://schemas.openxmlformats.org/officeDocument/2006/relationships/worksheet" Target="/xl/worksheets/sheet1.xml" Id="R13901a78690f4a7e" /><Relationship Type="http://schemas.openxmlformats.org/officeDocument/2006/relationships/worksheet" Target="/xl/worksheets/sheet2.xml" Id="R62d97525496a4946" /><Relationship Type="http://schemas.openxmlformats.org/officeDocument/2006/relationships/worksheet" Target="/xl/worksheets/sheet3.xml" Id="Red90c7986ce3443b" /><Relationship Type="http://schemas.openxmlformats.org/officeDocument/2006/relationships/worksheet" Target="/xl/worksheets/sheet4.xml" Id="Rdb3d1b129d7f4bbc" /><Relationship Type="http://schemas.openxmlformats.org/officeDocument/2006/relationships/worksheet" Target="/xl/worksheets/sheet5.xml" Id="R6f60ae57218d4ce6" /><Relationship Type="http://schemas.openxmlformats.org/officeDocument/2006/relationships/worksheet" Target="/xl/worksheets/sheet6.xml" Id="Rac6d7256fffd432d" /><Relationship Type="http://schemas.openxmlformats.org/officeDocument/2006/relationships/worksheet" Target="/xl/worksheets/sheet7.xml" Id="R9ee01ff1b6644c9f" /><Relationship Type="http://schemas.openxmlformats.org/officeDocument/2006/relationships/worksheet" Target="/xl/worksheets/sheet8.xml" Id="Rbb4ff860affa4daf" /><Relationship Type="http://schemas.openxmlformats.org/officeDocument/2006/relationships/worksheet" Target="/xl/worksheets/sheet9.xml" Id="Rd8215ad94c774962" /><Relationship Type="http://schemas.openxmlformats.org/officeDocument/2006/relationships/worksheet" Target="/xl/worksheets/sheet10.xml" Id="Rb5790d35118046b8" /><Relationship Type="http://schemas.openxmlformats.org/officeDocument/2006/relationships/worksheet" Target="/xl/worksheets/sheet11.xml" Id="Rafef33d6340f4bb2" /><Relationship Type="http://schemas.openxmlformats.org/officeDocument/2006/relationships/worksheet" Target="/xl/worksheets/sheet12.xml" Id="Ra30e0da7e7864646" /><Relationship Type="http://schemas.openxmlformats.org/officeDocument/2006/relationships/worksheet" Target="/xl/worksheets/sheet13.xml" Id="Rd0cbb7d225754c5d" /><Relationship Type="http://schemas.microsoft.com/office/2017/10/relationships/person" Target="/xl/persons/person.xml" Id="Rb5df1f4544fe40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c58968673948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Modeled Excess Return vs Bitcoin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Excess +50%</c:v>
          </c:tx>
          <c:cat>
            <c:strRef>
              <c:f>'Stage 4 Summary'!$A$14:$A$19</c:f>
              <c:strCache>
                <c:ptCount val="0"/>
              </c:strCache>
            </c:strRef>
          </c:cat>
          <c:val>
            <c:numRef>
              <c:f>'Stage 4 Summary'!$B$14:$B$19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Excess +100%</c:v>
          </c:tx>
          <c:cat>
            <c:strRef>
              <c:f>'Stage 4 Summary'!$A$14:$A$19</c:f>
              <c:strCache>
                <c:ptCount val="0"/>
              </c:strCache>
            </c:strRef>
          </c:cat>
          <c:val>
            <c:numRef>
              <c:f>'Stage 4 Summary'!$C$14:$C$19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Excess +200%</c:v>
          </c:tx>
          <c:cat>
            <c:strRef>
              <c:f>'Stage 4 Summary'!$A$14:$A$19</c:f>
              <c:strCache>
                <c:ptCount val="0"/>
              </c:strCache>
            </c:strRef>
          </c:cat>
          <c:val>
            <c:numRef>
              <c:f>'Stage 4 Summary'!$D$14:$D$19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c589686739482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7048F3D2-DBDF-48AF-BA52-8E038467D307}"/>
  <xltc:person displayName="Mark" id="{2F6491DB-B494-4928-93A5-866DA3B3933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2" dT="2026-08-27T04:25:37.032" personId="{7048F3D2-DBDF-48AF-BA52-8E038467D307}" id="{4FCDE3CA-472F-02DE-07F3-674A338BCBC2}">
    <xltc:text>Source: Strategy investor briefing and SEC filings; detailed URLs are in Source Data Refresh.</xltc:text>
  </xltc:threadedComment>
  <xltc:threadedComment ref="A13" dT="2026-08-27T04:25:37.033" personId="{7048F3D2-DBDF-48AF-BA52-8E038467D307}" id="{D85847D8-0DFF-D0CA-D1B1-F78179D7BF28}">
    <xltc:text>Source: Metaplanet Q2 materials and strategy tracker; cash remains an explicit gap.</xltc:text>
  </xltc:threadedComment>
  <xltc:threadedComment ref="A14" dT="2026-08-27T04:25:37.033" personId="{7048F3D2-DBDF-48AF-BA52-8E038467D307}" id="{4087A237-7D8A-E7C3-9E65-1680540AC81D}">
    <xltc:text>Source: Twenty One Capital 10-Q; convert and officer options included.</xltc:text>
  </xltc:threadedComment>
  <xltc:threadedComment ref="A15" dT="2026-08-27T04:25:37.033" personId="{7048F3D2-DBDF-48AF-BA52-8E038467D307}" id="{2779395E-F936-B8E7-7AD4-18AEB30DD307}">
    <xltc:text>Source: American Bitcoin 10-Q and results exhibit; debt-equivalent includes miner purchase and lease liabilities.</xltc:text>
  </xltc:threadedComment>
  <xltc:threadedComment ref="A16" dT="2026-08-27T04:25:37.033" personId="{7048F3D2-DBDF-48AF-BA52-8E038467D307}" id="{F777AACE-5932-ED7F-3CDD-878EBE111009}">
    <xltc:text>Source: CleanSpark 10-Q and monthly operating update; HPC economics beyond contracted MW are assumptions.</xltc:text>
  </xltc:threadedComment>
  <xltc:threadedComment ref="A17" dT="2026-08-27T04:25:37.033" personId="{7048F3D2-DBDF-48AF-BA52-8E038467D307}" id="{2BC7DEE8-8A7F-B9F4-8295-5412A139B68A}">
    <xltc:text>Source: MARA 10-Q; post-quarter infrastructure and credit facilities remain scenario-sensitive.</xltc:text>
  </xltc:threadedComment>
</xltc:ThreadedComment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.xml" Id="R67377e43c02a4349" /><Relationship Type="http://schemas.openxmlformats.org/officeDocument/2006/relationships/vmlDrawing" Target="/xl/drawings/vmldrawing.vml" Id="R5b5c97434b4e4882" /><Relationship Type="http://schemas.microsoft.com/office/2017/10/relationships/threadedComment" Target="/xl/threadedcomments/threadedcomment.xml" Id="R43c29d9e951f44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d1798029faa64e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27" hidden="0" customWidth="1"/>
    <x:col min="8" max="8" width="27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60" t="str">
        <x:v>Stage 5 Model Assumptions</x:v>
      </x:c>
      <x:c r="B1" s="60" t="str">
        <x:v>Stage 5 Model Assumptions</x:v>
      </x:c>
      <x:c r="C1" s="60" t="str">
        <x:v>Stage 5 Model Assumptions</x:v>
      </x:c>
      <x:c r="D1" s="60" t="str">
        <x:v>Stage 5 Model Assumptions</x:v>
      </x:c>
      <x:c r="E1" s="60" t="str">
        <x:v>Stage 5 Model Assumptions</x:v>
      </x:c>
      <x:c r="F1" s="60" t="str">
        <x:v>Stage 5 Model Assumptions</x:v>
      </x:c>
      <x:c r="G1" s="60" t="str">
        <x:v>Stage 5 Model Assumptions</x:v>
      </x:c>
      <x:c r="H1" s="60" t="str">
        <x:v>Stage 5 Model Assumptions</x:v>
      </x:c>
      <x:c r="I1" s="60" t="str">
        <x:v>Stage 5 Model Assumptions</x:v>
      </x:c>
      <x:c r="J1" s="60" t="str">
        <x:v>Stage 5 Model Assumptions</x:v>
      </x:c>
      <x:c r="K1" s="60" t="str">
        <x:v>Stage 5 Model Assumptions</x:v>
      </x:c>
      <x:c r="L1" s="60" t="str">
        <x:v>Stage 5 Model Assumptions</x:v>
      </x:c>
    </x:row>
    <x:row r="2" ht="28" customHeight="1">
      <x:c r="A2" s="60" t="str">
        <x:v>Stage 5 Model Assumptions</x:v>
      </x:c>
      <x:c r="B2" s="60" t="str">
        <x:v>Stage 5 Model Assumptions</x:v>
      </x:c>
      <x:c r="C2" s="60" t="str">
        <x:v>Stage 5 Model Assumptions</x:v>
      </x:c>
      <x:c r="D2" s="60" t="str">
        <x:v>Stage 5 Model Assumptions</x:v>
      </x:c>
      <x:c r="E2" s="60" t="str">
        <x:v>Stage 5 Model Assumptions</x:v>
      </x:c>
      <x:c r="F2" s="60" t="str">
        <x:v>Stage 5 Model Assumptions</x:v>
      </x:c>
      <x:c r="G2" s="60" t="str">
        <x:v>Stage 5 Model Assumptions</x:v>
      </x:c>
      <x:c r="H2" s="60" t="str">
        <x:v>Stage 5 Model Assumptions</x:v>
      </x:c>
      <x:c r="I2" s="60" t="str">
        <x:v>Stage 5 Model Assumptions</x:v>
      </x:c>
      <x:c r="J2" s="60" t="str">
        <x:v>Stage 5 Model Assumptions</x:v>
      </x:c>
      <x:c r="K2" s="60" t="str">
        <x:v>Stage 5 Model Assumptions</x:v>
      </x:c>
      <x:c r="L2" s="60" t="str">
        <x:v>Stage 5 Model Assumptions</x:v>
      </x:c>
    </x:row>
    <x:row r="3" ht="15" hidden="0" customHeight="1">
      <x:c r="A3" s="61" t="str">
        <x:v>Blue-font cells are editable inputs. Price targets remain provisional until company-specific dilution and operating mechanics are rebuilt.</x:v>
      </x:c>
      <x:c r="B3" s="61" t="str">
        <x:v>Blue-font cells are editable inputs. Price targets remain provisional until company-specific dilution and operating mechanics are rebuilt.</x:v>
      </x:c>
      <x:c r="C3" s="61" t="str">
        <x:v>Blue-font cells are editable inputs. Price targets remain provisional until company-specific dilution and operating mechanics are rebuilt.</x:v>
      </x:c>
      <x:c r="D3" s="61" t="str">
        <x:v>Blue-font cells are editable inputs. Price targets remain provisional until company-specific dilution and operating mechanics are rebuilt.</x:v>
      </x:c>
      <x:c r="E3" s="61" t="str">
        <x:v>Blue-font cells are editable inputs. Price targets remain provisional until company-specific dilution and operating mechanics are rebuilt.</x:v>
      </x:c>
      <x:c r="F3" s="61" t="str">
        <x:v>Blue-font cells are editable inputs. Price targets remain provisional until company-specific dilution and operating mechanics are rebuilt.</x:v>
      </x:c>
      <x:c r="G3" s="61" t="str">
        <x:v>Blue-font cells are editable inputs. Price targets remain provisional until company-specific dilution and operating mechanics are rebuilt.</x:v>
      </x:c>
      <x:c r="H3" s="61" t="str">
        <x:v>Blue-font cells are editable inputs. Price targets remain provisional until company-specific dilution and operating mechanics are rebuilt.</x:v>
      </x:c>
      <x:c r="I3" s="61" t="str">
        <x:v>Blue-font cells are editable inputs. Price targets remain provisional until company-specific dilution and operating mechanics are rebuilt.</x:v>
      </x:c>
      <x:c r="J3" s="61" t="str">
        <x:v>Blue-font cells are editable inputs. Price targets remain provisional until company-specific dilution and operating mechanics are rebuilt.</x:v>
      </x:c>
      <x:c r="K3" s="61" t="str">
        <x:v>Blue-font cells are editable inputs. Price targets remain provisional until company-specific dilution and operating mechanics are rebuilt.</x:v>
      </x:c>
      <x:c r="L3" s="61" t="str">
        <x:v>Blue-font cells are editable inputs. Price targets remain provisional until company-specific dilution and operating mechanics are rebuilt.</x:v>
      </x:c>
    </x:row>
    <x:row r="4" ht="15" hidden="0" customHeight="1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</x:row>
    <x:row r="5" ht="15" hidden="0" customHeight="1">
      <x:c r="A5" s="63" t="str">
        <x:v>Benchmark and Scenario Inputs</x:v>
      </x:c>
      <x:c r="B5" s="63" t="str">
        <x:v>Benchmark and Scenario Inputs</x:v>
      </x:c>
      <x:c r="C5" s="63" t="str">
        <x:v>Benchmark and Scenario Inputs</x:v>
      </x:c>
      <x:c r="D5" s="63" t="str">
        <x:v>Benchmark and Scenario Inputs</x:v>
      </x:c>
      <x:c r="E5" s="63" t="str">
        <x:v>Benchmark and Scenario Inputs</x:v>
      </x:c>
      <x:c r="F5" s="63" t="str">
        <x:v>Benchmark and Scenario Inputs</x:v>
      </x:c>
      <x:c r="G5" s="63" t="str">
        <x:v>Benchmark and Scenario Inputs</x:v>
      </x:c>
      <x:c r="H5" s="63" t="str">
        <x:v>Benchmark and Scenario Inputs</x:v>
      </x:c>
      <x:c r="I5" s="62"/>
      <x:c r="J5" s="62"/>
      <x:c r="K5" s="62"/>
      <x:c r="L5" s="62"/>
    </x:row>
    <x:row r="6" ht="26.399999618530273" hidden="0" customHeight="1">
      <x:c r="A6" s="64" t="str">
        <x:v>Scenario ID</x:v>
      </x:c>
      <x:c r="B6" s="65" t="str">
        <x:v>Scenario</x:v>
      </x:c>
      <x:c r="C6" s="65" t="str">
        <x:v>BTC multiplier</x:v>
      </x:c>
      <x:c r="D6" s="65" t="str">
        <x:v>BTC price USD</x:v>
      </x:c>
      <x:c r="E6" s="65" t="str">
        <x:v>BTC return</x:v>
      </x:c>
      <x:c r="F6" s="65" t="str">
        <x:v>Difficulty increase</x:v>
      </x:c>
      <x:c r="G6" s="65" t="str">
        <x:v>Horizon months</x:v>
      </x:c>
      <x:c r="H6" s="66" t="str">
        <x:v>Status</x:v>
      </x:c>
      <x:c r="I6" s="62"/>
      <x:c r="J6" s="62"/>
      <x:c r="K6" s="234" t="str">
        <x:v>Anchor</x:v>
      </x:c>
      <x:c r="L6" s="235" t="str">
        <x:v>Value</x:v>
      </x:c>
    </x:row>
    <x:row r="7" ht="15" hidden="0" customHeight="1">
      <x:c r="A7" s="67" t="str">
        <x:v>S0</x:v>
      </x:c>
      <x:c r="B7" s="67" t="str">
        <x:v>Current</x:v>
      </x:c>
      <x:c r="C7" s="68" t="n">
        <x:v>1</x:v>
      </x:c>
      <x:c r="D7" s="69" t="n">
        <x:f>$L$7*C7</x:f>
        <x:v>78511.23</x:v>
      </x:c>
      <x:c r="E7" s="70" t="n">
        <x:f>C7-1</x:f>
        <x:v>0</x:v>
      </x:c>
      <x:c r="F7" s="71" t="n">
        <x:v>0</x:v>
      </x:c>
      <x:c r="G7" s="68" t="n">
        <x:v>0</x:v>
      </x:c>
      <x:c r="H7" s="67" t="str">
        <x:v>Observed anchor</x:v>
      </x:c>
      <x:c r="I7" s="62"/>
      <x:c r="J7" s="62"/>
      <x:c r="K7" s="236" t="str">
        <x:v>BTC price USD</x:v>
      </x:c>
      <x:c r="L7" s="72" t="n">
        <x:v>78511.23</x:v>
      </x:c>
    </x:row>
    <x:row r="8" ht="15" hidden="0" customHeight="1">
      <x:c r="A8" s="73" t="str">
        <x:v>S1</x:v>
      </x:c>
      <x:c r="B8" s="73" t="str">
        <x:v>BTC +50%</x:v>
      </x:c>
      <x:c r="C8" s="74" t="n">
        <x:v>1.5</x:v>
      </x:c>
      <x:c r="D8" s="75" t="n">
        <x:f>$L$7*C8</x:f>
        <x:v>117766.845</x:v>
      </x:c>
      <x:c r="E8" s="76" t="n">
        <x:f>C8-1</x:f>
        <x:v>0.5</x:v>
      </x:c>
      <x:c r="F8" s="77" t="n">
        <x:v>0.25</x:v>
      </x:c>
      <x:c r="G8" s="74" t="n">
        <x:v>24</x:v>
      </x:c>
      <x:c r="H8" s="73" t="str">
        <x:v>Model assumption</x:v>
      </x:c>
      <x:c r="I8" s="62"/>
      <x:c r="J8" s="62"/>
      <x:c r="K8" s="236" t="str">
        <x:v>BTC price JPY</x:v>
      </x:c>
      <x:c r="L8" s="78" t="n">
        <x:v>12500558.04</x:v>
      </x:c>
    </x:row>
    <x:row r="9" ht="15" hidden="0" customHeight="1">
      <x:c r="A9" s="73" t="str">
        <x:v>S2</x:v>
      </x:c>
      <x:c r="B9" s="73" t="str">
        <x:v>BTC +100%</x:v>
      </x:c>
      <x:c r="C9" s="74" t="n">
        <x:v>2</x:v>
      </x:c>
      <x:c r="D9" s="75" t="n">
        <x:f>$L$7*C9</x:f>
        <x:v>157022.46</x:v>
      </x:c>
      <x:c r="E9" s="76" t="n">
        <x:f>C9-1</x:f>
        <x:v>1</x:v>
      </x:c>
      <x:c r="F9" s="77" t="n">
        <x:v>0.45</x:v>
      </x:c>
      <x:c r="G9" s="74" t="n">
        <x:v>24</x:v>
      </x:c>
      <x:c r="H9" s="73" t="str">
        <x:v>Model assumption</x:v>
      </x:c>
      <x:c r="I9" s="62"/>
      <x:c r="J9" s="62"/>
      <x:c r="K9" s="236" t="str">
        <x:v>USD/JPY close</x:v>
      </x:c>
      <x:c r="L9" s="236" t="n">
        <x:v>159.22</x:v>
      </x:c>
    </x:row>
    <x:row r="10" ht="15" hidden="0" customHeight="1">
      <x:c r="A10" s="79" t="str">
        <x:v>S3</x:v>
      </x:c>
      <x:c r="B10" s="79" t="str">
        <x:v>BTC +200%</x:v>
      </x:c>
      <x:c r="C10" s="80" t="n">
        <x:v>3</x:v>
      </x:c>
      <x:c r="D10" s="81" t="n">
        <x:f>$L$7*C10</x:f>
        <x:v>235533.69</x:v>
      </x:c>
      <x:c r="E10" s="82" t="n">
        <x:f>C10-1</x:f>
        <x:v>2</x:v>
      </x:c>
      <x:c r="F10" s="83" t="n">
        <x:v>0.8</x:v>
      </x:c>
      <x:c r="G10" s="80" t="n">
        <x:v>24</x:v>
      </x:c>
      <x:c r="H10" s="79" t="str">
        <x:v>Model assumption</x:v>
      </x:c>
      <x:c r="I10" s="62"/>
      <x:c r="J10" s="62"/>
      <x:c r="K10" s="62"/>
      <x:c r="L10" s="62"/>
    </x:row>
    <x:row r="11" ht="15" hidden="0" customHeight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</x:row>
    <x:row r="12" ht="15" hidden="0" customHeight="1">
      <x:c r="A12" s="63" t="str">
        <x:v>Interpretive Rules</x:v>
      </x:c>
      <x:c r="B12" s="63" t="str">
        <x:v>Interpretive Rules</x:v>
      </x:c>
      <x:c r="C12" s="63" t="str">
        <x:v>Interpretive Rules</x:v>
      </x:c>
      <x:c r="D12" s="63" t="str">
        <x:v>Interpretive Rules</x:v>
      </x:c>
      <x:c r="E12" s="63" t="str">
        <x:v>Interpretive Rules</x:v>
      </x:c>
      <x:c r="F12" s="63" t="str">
        <x:v>Interpretive Rules</x:v>
      </x:c>
      <x:c r="G12" s="63" t="str">
        <x:v>Interpretive Rules</x:v>
      </x:c>
      <x:c r="H12" s="63" t="str">
        <x:v>Interpretive Rules</x:v>
      </x:c>
      <x:c r="I12" s="62"/>
      <x:c r="J12" s="62"/>
      <x:c r="K12" s="62"/>
      <x:c r="L12" s="62"/>
    </x:row>
    <x:row r="13" ht="26.399999618530273" hidden="0" customHeight="1">
      <x:c r="A13" s="64" t="str">
        <x:v>ID</x:v>
      </x:c>
      <x:c r="B13" s="65" t="str">
        <x:v>Category</x:v>
      </x:c>
      <x:c r="C13" s="65" t="str">
        <x:v>Assumption</x:v>
      </x:c>
      <x:c r="D13" s="65" t="str">
        <x:v>Value</x:v>
      </x:c>
      <x:c r="E13" s="65" t="str">
        <x:v>Unit</x:v>
      </x:c>
      <x:c r="F13" s="65" t="str">
        <x:v>Evidence class</x:v>
      </x:c>
      <x:c r="G13" s="65" t="str">
        <x:v>Risk if wrong</x:v>
      </x:c>
      <x:c r="H13" s="66" t="str">
        <x:v>Stage 5 treatment</x:v>
      </x:c>
      <x:c r="I13" s="62"/>
      <x:c r="J13" s="62"/>
      <x:c r="K13" s="62"/>
      <x:c r="L13" s="62"/>
    </x:row>
    <x:row r="14" ht="15" hidden="0" customHeight="1">
      <x:c r="A14" s="67" t="str">
        <x:v>A01</x:v>
      </x:c>
      <x:c r="B14" s="67" t="str">
        <x:v>Benchmark</x:v>
      </x:c>
      <x:c r="C14" s="67" t="str">
        <x:v>Primary comparison asset</x:v>
      </x:c>
      <x:c r="D14" s="67" t="str">
        <x:v>Bitcoin</x:v>
      </x:c>
      <x:c r="E14" s="67" t="str">
        <x:v>Asset</x:v>
      </x:c>
      <x:c r="F14" s="67" t="str">
        <x:v>Defined</x:v>
      </x:c>
      <x:c r="G14" s="67" t="str">
        <x:v>Wrong benchmark changes excess return</x:v>
      </x:c>
      <x:c r="H14" s="67" t="str">
        <x:v>Fixed</x:v>
      </x:c>
      <x:c r="I14" s="62"/>
      <x:c r="J14" s="62"/>
      <x:c r="K14" s="62"/>
      <x:c r="L14" s="62"/>
    </x:row>
    <x:row r="15" ht="15" hidden="0" customHeight="1">
      <x:c r="A15" s="73" t="str">
        <x:v>A02</x:v>
      </x:c>
      <x:c r="B15" s="73" t="str">
        <x:v>Horizon</x:v>
      </x:c>
      <x:c r="C15" s="73" t="str">
        <x:v>Primary horizon</x:v>
      </x:c>
      <x:c r="D15" s="73" t="n">
        <x:v>24</x:v>
      </x:c>
      <x:c r="E15" s="73" t="str">
        <x:v>Months</x:v>
      </x:c>
      <x:c r="F15" s="73" t="str">
        <x:v>Defined</x:v>
      </x:c>
      <x:c r="G15" s="73" t="str">
        <x:v>Catalyst timing mismatch</x:v>
      </x:c>
      <x:c r="H15" s="73" t="str">
        <x:v>Sensitivity later</x:v>
      </x:c>
      <x:c r="I15" s="62"/>
      <x:c r="J15" s="62"/>
      <x:c r="K15" s="62"/>
      <x:c r="L15" s="62"/>
    </x:row>
    <x:row r="16" ht="15" hidden="0" customHeight="1">
      <x:c r="A16" s="73" t="str">
        <x:v>A03</x:v>
      </x:c>
      <x:c r="B16" s="73" t="str">
        <x:v>Mining</x:v>
      </x:c>
      <x:c r="C16" s="73" t="str">
        <x:v>Fee share of miner revenue</x:v>
      </x:c>
      <x:c r="D16" s="84" t="n">
        <x:v>0.0067</x:v>
      </x:c>
      <x:c r="E16" s="73" t="str">
        <x:v>%</x:v>
      </x:c>
      <x:c r="F16" s="73" t="str">
        <x:v>Observed/derived</x:v>
      </x:c>
      <x:c r="G16" s="73" t="str">
        <x:v>Fee-market change alters revenue</x:v>
      </x:c>
      <x:c r="H16" s="73" t="str">
        <x:v>Refresh</x:v>
      </x:c>
      <x:c r="I16" s="62"/>
      <x:c r="J16" s="62"/>
      <x:c r="K16" s="62"/>
      <x:c r="L16" s="62"/>
    </x:row>
    <x:row r="17" ht="15" hidden="0" customHeight="1">
      <x:c r="A17" s="73" t="str">
        <x:v>A04</x:v>
      </x:c>
      <x:c r="B17" s="73" t="str">
        <x:v>Mining</x:v>
      </x:c>
      <x:c r="C17" s="73" t="str">
        <x:v>Block subsidy share</x:v>
      </x:c>
      <x:c r="D17" s="84" t="n">
        <x:v>0.9933</x:v>
      </x:c>
      <x:c r="E17" s="73" t="str">
        <x:v>%</x:v>
      </x:c>
      <x:c r="F17" s="73" t="str">
        <x:v>Observed/derived</x:v>
      </x:c>
      <x:c r="G17" s="73" t="str">
        <x:v>Subsidy dependence understated</x:v>
      </x:c>
      <x:c r="H17" s="73" t="str">
        <x:v>Refresh</x:v>
      </x:c>
      <x:c r="I17" s="62"/>
      <x:c r="J17" s="62"/>
      <x:c r="K17" s="62"/>
      <x:c r="L17" s="62"/>
    </x:row>
    <x:row r="18" ht="15" hidden="0" customHeight="1">
      <x:c r="A18" s="73" t="str">
        <x:v>A05</x:v>
      </x:c>
      <x:c r="B18" s="73" t="str">
        <x:v>Valuation</x:v>
      </x:c>
      <x:c r="C18" s="73" t="str">
        <x:v>No automatic multiple expansion</x:v>
      </x:c>
      <x:c r="D18" s="73" t="str">
        <x:v>Yes</x:v>
      </x:c>
      <x:c r="E18" s="73" t="str">
        <x:v>Rule</x:v>
      </x:c>
      <x:c r="F18" s="73" t="str">
        <x:v>Defined</x:v>
      </x:c>
      <x:c r="G18" s="73" t="str">
        <x:v>Double-counts convexity</x:v>
      </x:c>
      <x:c r="H18" s="73" t="str">
        <x:v>Enforce</x:v>
      </x:c>
      <x:c r="I18" s="62"/>
      <x:c r="J18" s="62"/>
      <x:c r="K18" s="62"/>
      <x:c r="L18" s="62"/>
    </x:row>
    <x:row r="19" ht="15" hidden="0" customHeight="1">
      <x:c r="A19" s="73" t="str">
        <x:v>A06</x:v>
      </x:c>
      <x:c r="B19" s="73" t="str">
        <x:v>Dilution</x:v>
      </x:c>
      <x:c r="C19" s="73" t="str">
        <x:v>Use economic fully diluted shares</x:v>
      </x:c>
      <x:c r="D19" s="73" t="str">
        <x:v>Yes</x:v>
      </x:c>
      <x:c r="E19" s="73" t="str">
        <x:v>Rule</x:v>
      </x:c>
      <x:c r="F19" s="73" t="str">
        <x:v>Defined</x:v>
      </x:c>
      <x:c r="G19" s="73" t="str">
        <x:v>Basic shares overstate value</x:v>
      </x:c>
      <x:c r="H19" s="73" t="str">
        <x:v>Enforce</x:v>
      </x:c>
      <x:c r="I19" s="62"/>
      <x:c r="J19" s="62"/>
      <x:c r="K19" s="62"/>
      <x:c r="L19" s="62"/>
    </x:row>
    <x:row r="20" ht="15" hidden="0" customHeight="1">
      <x:c r="A20" s="73" t="str">
        <x:v>A08</x:v>
      </x:c>
      <x:c r="B20" s="73" t="str">
        <x:v>Prices</x:v>
      </x:c>
      <x:c r="C20" s="73" t="str">
        <x:v>One valuation date for prices and FX</x:v>
      </x:c>
      <x:c r="D20" s="73" t="str">
        <x:v>2026-08-25</x:v>
      </x:c>
      <x:c r="E20" s="73" t="str">
        <x:v>Date</x:v>
      </x:c>
      <x:c r="F20" s="73" t="str">
        <x:v>Observed</x:v>
      </x:c>
      <x:c r="G20" s="73" t="str">
        <x:v>Same-date mismatch reduced</x:v>
      </x:c>
      <x:c r="H20" s="73" t="str">
        <x:v>Fixed anchor</x:v>
      </x:c>
      <x:c r="I20" s="62"/>
      <x:c r="J20" s="62"/>
      <x:c r="K20" s="62"/>
      <x:c r="L20" s="62"/>
    </x:row>
    <x:row r="21" ht="15" hidden="0" customHeight="1">
      <x:c r="A21" s="73" t="str">
        <x:v>A09</x:v>
      </x:c>
      <x:c r="B21" s="73" t="str">
        <x:v>Currency</x:v>
      </x:c>
      <x:c r="C21" s="73" t="str">
        <x:v>USD/JPY closing rate</x:v>
      </x:c>
      <x:c r="D21" s="73" t="n">
        <x:v>159.22</x:v>
      </x:c>
      <x:c r="E21" s="73" t="str">
        <x:v>JPY per USD</x:v>
      </x:c>
      <x:c r="F21" s="73" t="str">
        <x:v>Market data</x:v>
      </x:c>
      <x:c r="G21" s="73" t="str">
        <x:v>FX source variance</x:v>
      </x:c>
      <x:c r="H21" s="73" t="str">
        <x:v>Use consistently</x:v>
      </x:c>
      <x:c r="I21" s="62"/>
      <x:c r="J21" s="62"/>
      <x:c r="K21" s="62"/>
      <x:c r="L21" s="62"/>
    </x:row>
    <x:row r="22" ht="15" hidden="0" customHeight="1">
      <x:c r="A22" s="79" t="str">
        <x:v>A09</x:v>
      </x:c>
      <x:c r="B22" s="79" t="str">
        <x:v>Currency</x:v>
      </x:c>
      <x:c r="C22" s="79" t="str">
        <x:v>No aggregation without FX</x:v>
      </x:c>
      <x:c r="D22" s="79" t="str">
        <x:v>Required</x:v>
      </x:c>
      <x:c r="E22" s="79" t="str">
        <x:v>Rule</x:v>
      </x:c>
      <x:c r="F22" s="79" t="str">
        <x:v>Defined</x:v>
      </x:c>
      <x:c r="G22" s="79" t="str">
        <x:v>Metaplanet comparison distorted</x:v>
      </x:c>
      <x:c r="H22" s="79" t="str">
        <x:v>Critical gap</x:v>
      </x:c>
      <x:c r="I22" s="62"/>
      <x:c r="J22" s="62"/>
      <x:c r="K22" s="62"/>
      <x:c r="L22" s="62"/>
    </x:row>
  </x:sheetData>
  <x:mergeCells>
    <x:mergeCell ref="A1:L2"/>
    <x:mergeCell ref="A3:L3"/>
    <x:mergeCell ref="A5:H5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1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24" hidden="0" customWidth="1"/>
    <x:col min="24" max="24" width="18" hidden="0" customWidth="1"/>
    <x:col min="25" max="25" width="32" hidden="0" customWidth="1"/>
  </x:cols>
  <x:sheetData>
    <x:row r="1" ht="28" customHeight="1">
      <x:c r="A1" s="60" t="str">
        <x:v>Normalized Company Metrics</x:v>
      </x:c>
      <x:c r="B1" s="60" t="str">
        <x:v>Normalized Company Metrics</x:v>
      </x:c>
      <x:c r="C1" s="60" t="str">
        <x:v>Normalized Company Metrics</x:v>
      </x:c>
      <x:c r="D1" s="60" t="str">
        <x:v>Normalized Company Metrics</x:v>
      </x:c>
      <x:c r="E1" s="60" t="str">
        <x:v>Normalized Company Metrics</x:v>
      </x:c>
      <x:c r="F1" s="60" t="str">
        <x:v>Normalized Company Metrics</x:v>
      </x:c>
      <x:c r="G1" s="60" t="str">
        <x:v>Normalized Company Metrics</x:v>
      </x:c>
      <x:c r="H1" s="60" t="str">
        <x:v>Normalized Company Metrics</x:v>
      </x:c>
      <x:c r="I1" s="60" t="str">
        <x:v>Normalized Company Metrics</x:v>
      </x:c>
      <x:c r="J1" s="60" t="str">
        <x:v>Normalized Company Metrics</x:v>
      </x:c>
      <x:c r="K1" s="60" t="str">
        <x:v>Normalized Company Metrics</x:v>
      </x:c>
      <x:c r="L1" s="60" t="str">
        <x:v>Normalized Company Metrics</x:v>
      </x:c>
      <x:c r="M1" s="60" t="str">
        <x:v>Normalized Company Metrics</x:v>
      </x:c>
      <x:c r="N1" s="60" t="str">
        <x:v>Normalized Company Metrics</x:v>
      </x:c>
      <x:c r="O1" s="60" t="str">
        <x:v>Normalized Company Metrics</x:v>
      </x:c>
      <x:c r="P1" s="60" t="str">
        <x:v>Normalized Company Metrics</x:v>
      </x:c>
      <x:c r="Q1" s="60" t="str">
        <x:v>Normalized Company Metrics</x:v>
      </x:c>
      <x:c r="R1" s="60" t="str">
        <x:v>Normalized Company Metrics</x:v>
      </x:c>
      <x:c r="S1" s="60" t="str">
        <x:v>Normalized Company Metrics</x:v>
      </x:c>
      <x:c r="T1" s="60" t="str">
        <x:v>Normalized Company Metrics</x:v>
      </x:c>
      <x:c r="U1" s="60" t="str">
        <x:v>Normalized Company Metrics</x:v>
      </x:c>
      <x:c r="V1" s="60" t="str">
        <x:v>Normalized Company Metrics</x:v>
      </x:c>
      <x:c r="W1" s="60" t="str">
        <x:v>Normalized Company Metrics</x:v>
      </x:c>
      <x:c r="X1" s="60" t="str">
        <x:v>Normalized Company Metrics</x:v>
      </x:c>
      <x:c r="Y1" s="60" t="str">
        <x:v>Normalized Company Metrics</x:v>
      </x:c>
    </x:row>
    <x:row r="2" ht="28" customHeight="1">
      <x:c r="A2" s="60" t="str">
        <x:v>Normalized Company Metrics</x:v>
      </x:c>
      <x:c r="B2" s="60" t="str">
        <x:v>Normalized Company Metrics</x:v>
      </x:c>
      <x:c r="C2" s="60" t="str">
        <x:v>Normalized Company Metrics</x:v>
      </x:c>
      <x:c r="D2" s="60" t="str">
        <x:v>Normalized Company Metrics</x:v>
      </x:c>
      <x:c r="E2" s="60" t="str">
        <x:v>Normalized Company Metrics</x:v>
      </x:c>
      <x:c r="F2" s="60" t="str">
        <x:v>Normalized Company Metrics</x:v>
      </x:c>
      <x:c r="G2" s="60" t="str">
        <x:v>Normalized Company Metrics</x:v>
      </x:c>
      <x:c r="H2" s="60" t="str">
        <x:v>Normalized Company Metrics</x:v>
      </x:c>
      <x:c r="I2" s="60" t="str">
        <x:v>Normalized Company Metrics</x:v>
      </x:c>
      <x:c r="J2" s="60" t="str">
        <x:v>Normalized Company Metrics</x:v>
      </x:c>
      <x:c r="K2" s="60" t="str">
        <x:v>Normalized Company Metrics</x:v>
      </x:c>
      <x:c r="L2" s="60" t="str">
        <x:v>Normalized Company Metrics</x:v>
      </x:c>
      <x:c r="M2" s="60" t="str">
        <x:v>Normalized Company Metrics</x:v>
      </x:c>
      <x:c r="N2" s="60" t="str">
        <x:v>Normalized Company Metrics</x:v>
      </x:c>
      <x:c r="O2" s="60" t="str">
        <x:v>Normalized Company Metrics</x:v>
      </x:c>
      <x:c r="P2" s="60" t="str">
        <x:v>Normalized Company Metrics</x:v>
      </x:c>
      <x:c r="Q2" s="60" t="str">
        <x:v>Normalized Company Metrics</x:v>
      </x:c>
      <x:c r="R2" s="60" t="str">
        <x:v>Normalized Company Metrics</x:v>
      </x:c>
      <x:c r="S2" s="60" t="str">
        <x:v>Normalized Company Metrics</x:v>
      </x:c>
      <x:c r="T2" s="60" t="str">
        <x:v>Normalized Company Metrics</x:v>
      </x:c>
      <x:c r="U2" s="60" t="str">
        <x:v>Normalized Company Metrics</x:v>
      </x:c>
      <x:c r="V2" s="60" t="str">
        <x:v>Normalized Company Metrics</x:v>
      </x:c>
      <x:c r="W2" s="60" t="str">
        <x:v>Normalized Company Metrics</x:v>
      </x:c>
      <x:c r="X2" s="60" t="str">
        <x:v>Normalized Company Metrics</x:v>
      </x:c>
      <x:c r="Y2" s="60" t="str">
        <x:v>Normalized Company Metrics</x:v>
      </x:c>
    </x:row>
    <x:row r="3" ht="15" hidden="0" customHeight="1">
      <x:c r="A3" s="61" t="str">
        <x:v>Amounts use each company's reporting currency. Blank means unavailable or non-comparable—not zero. Gross sats/share is formula-derived.</x:v>
      </x:c>
      <x:c r="B3" s="61" t="str">
        <x:v>Amounts use each company's reporting currency. Blank means unavailable or non-comparable—not zero. Gross sats/share is formula-derived.</x:v>
      </x:c>
      <x:c r="C3" s="61" t="str">
        <x:v>Amounts use each company's reporting currency. Blank means unavailable or non-comparable—not zero. Gross sats/share is formula-derived.</x:v>
      </x:c>
      <x:c r="D3" s="61" t="str">
        <x:v>Amounts use each company's reporting currency. Blank means unavailable or non-comparable—not zero. Gross sats/share is formula-derived.</x:v>
      </x:c>
      <x:c r="E3" s="61" t="str">
        <x:v>Amounts use each company's reporting currency. Blank means unavailable or non-comparable—not zero. Gross sats/share is formula-derived.</x:v>
      </x:c>
      <x:c r="F3" s="61" t="str">
        <x:v>Amounts use each company's reporting currency. Blank means unavailable or non-comparable—not zero. Gross sats/share is formula-derived.</x:v>
      </x:c>
      <x:c r="G3" s="61" t="str">
        <x:v>Amounts use each company's reporting currency. Blank means unavailable or non-comparable—not zero. Gross sats/share is formula-derived.</x:v>
      </x:c>
      <x:c r="H3" s="61" t="str">
        <x:v>Amounts use each company's reporting currency. Blank means unavailable or non-comparable—not zero. Gross sats/share is formula-derived.</x:v>
      </x:c>
      <x:c r="I3" s="61" t="str">
        <x:v>Amounts use each company's reporting currency. Blank means unavailable or non-comparable—not zero. Gross sats/share is formula-derived.</x:v>
      </x:c>
      <x:c r="J3" s="61" t="str">
        <x:v>Amounts use each company's reporting currency. Blank means unavailable or non-comparable—not zero. Gross sats/share is formula-derived.</x:v>
      </x:c>
      <x:c r="K3" s="61" t="str">
        <x:v>Amounts use each company's reporting currency. Blank means unavailable or non-comparable—not zero. Gross sats/share is formula-derived.</x:v>
      </x:c>
      <x:c r="L3" s="61" t="str">
        <x:v>Amounts use each company's reporting currency. Blank means unavailable or non-comparable—not zero. Gross sats/share is formula-derived.</x:v>
      </x:c>
      <x:c r="M3" s="61" t="str">
        <x:v>Amounts use each company's reporting currency. Blank means unavailable or non-comparable—not zero. Gross sats/share is formula-derived.</x:v>
      </x:c>
      <x:c r="N3" s="61" t="str">
        <x:v>Amounts use each company's reporting currency. Blank means unavailable or non-comparable—not zero. Gross sats/share is formula-derived.</x:v>
      </x:c>
      <x:c r="O3" s="61" t="str">
        <x:v>Amounts use each company's reporting currency. Blank means unavailable or non-comparable—not zero. Gross sats/share is formula-derived.</x:v>
      </x:c>
      <x:c r="P3" s="61" t="str">
        <x:v>Amounts use each company's reporting currency. Blank means unavailable or non-comparable—not zero. Gross sats/share is formula-derived.</x:v>
      </x:c>
      <x:c r="Q3" s="61" t="str">
        <x:v>Amounts use each company's reporting currency. Blank means unavailable or non-comparable—not zero. Gross sats/share is formula-derived.</x:v>
      </x:c>
      <x:c r="R3" s="61" t="str">
        <x:v>Amounts use each company's reporting currency. Blank means unavailable or non-comparable—not zero. Gross sats/share is formula-derived.</x:v>
      </x:c>
      <x:c r="S3" s="61" t="str">
        <x:v>Amounts use each company's reporting currency. Blank means unavailable or non-comparable—not zero. Gross sats/share is formula-derived.</x:v>
      </x:c>
      <x:c r="T3" s="61" t="str">
        <x:v>Amounts use each company's reporting currency. Blank means unavailable or non-comparable—not zero. Gross sats/share is formula-derived.</x:v>
      </x:c>
      <x:c r="U3" s="61" t="str">
        <x:v>Amounts use each company's reporting currency. Blank means unavailable or non-comparable—not zero. Gross sats/share is formula-derived.</x:v>
      </x:c>
      <x:c r="V3" s="61" t="str">
        <x:v>Amounts use each company's reporting currency. Blank means unavailable or non-comparable—not zero. Gross sats/share is formula-derived.</x:v>
      </x:c>
      <x:c r="W3" s="61" t="str">
        <x:v>Amounts use each company's reporting currency. Blank means unavailable or non-comparable—not zero. Gross sats/share is formula-derived.</x:v>
      </x:c>
      <x:c r="X3" s="61" t="str">
        <x:v>Amounts use each company's reporting currency. Blank means unavailable or non-comparable—not zero. Gross sats/share is formula-derived.</x:v>
      </x:c>
      <x:c r="Y3" s="61" t="str">
        <x:v>Amounts use each company's reporting currency. Blank means unavailable or non-comparable—not zero. Gross sats/share is formula-derived.</x:v>
      </x:c>
    </x:row>
    <x:row r="4" ht="26.399999618530273" hidden="0" customHeight="1">
      <x:c r="A4" s="64" t="str">
        <x:v>Company</x:v>
      </x:c>
      <x:c r="B4" s="65" t="str">
        <x:v>Ticker</x:v>
      </x:c>
      <x:c r="C4" s="65" t="str">
        <x:v>Type</x:v>
      </x:c>
      <x:c r="D4" s="65" t="str">
        <x:v>Currency</x:v>
      </x:c>
      <x:c r="E4" s="65" t="str">
        <x:v>Price</x:v>
      </x:c>
      <x:c r="F4" s="65" t="str">
        <x:v>BTC held</x:v>
      </x:c>
      <x:c r="G4" s="65" t="str">
        <x:v>Shares used M</x:v>
      </x:c>
      <x:c r="H4" s="65" t="str">
        <x:v>Denominator</x:v>
      </x:c>
      <x:c r="I4" s="65" t="str">
        <x:v>Gross sats/share</x:v>
      </x:c>
      <x:c r="J4" s="65" t="str">
        <x:v>Alt diluted shares M</x:v>
      </x:c>
      <x:c r="K4" s="65" t="str">
        <x:v>Diluted sats/share</x:v>
      </x:c>
      <x:c r="L4" s="65" t="str">
        <x:v>Cash/liquidity M</x:v>
      </x:c>
      <x:c r="M4" s="65" t="str">
        <x:v>Debt principal M</x:v>
      </x:c>
      <x:c r="N4" s="65" t="str">
        <x:v>Preferred M</x:v>
      </x:c>
      <x:c r="O4" s="65" t="str">
        <x:v>Total liabilities M</x:v>
      </x:c>
      <x:c r="P4" s="65" t="str">
        <x:v>Pledged/loaned BTC</x:v>
      </x:c>
      <x:c r="Q4" s="65" t="str">
        <x:v>Hashrate EH/s</x:v>
      </x:c>
      <x:c r="R4" s="65" t="str">
        <x:v>Efficiency J/TH</x:v>
      </x:c>
      <x:c r="S4" s="65" t="str">
        <x:v>BTC produced</x:v>
      </x:c>
      <x:c r="T4" s="65" t="str">
        <x:v>Period</x:v>
      </x:c>
      <x:c r="U4" s="65" t="str">
        <x:v>Energy/cash cost per BTC</x:v>
      </x:c>
      <x:c r="V4" s="65" t="str">
        <x:v>ATM capacity M</x:v>
      </x:c>
      <x:c r="W4" s="65" t="str">
        <x:v>BTC/share trend</x:v>
      </x:c>
      <x:c r="X4" s="65" t="str">
        <x:v>Evidence quality</x:v>
      </x:c>
      <x:c r="Y4" s="66" t="str">
        <x:v>Primary unresolved issue</x:v>
      </x:c>
    </x:row>
    <x:row r="5" ht="15" hidden="0" customHeight="1">
      <x:c r="A5" s="67" t="str">
        <x:v>Strategy</x:v>
      </x:c>
      <x:c r="B5" s="67" t="str">
        <x:v>MSTR</x:v>
      </x:c>
      <x:c r="C5" s="67" t="str">
        <x:v>BTC treasury</x:v>
      </x:c>
      <x:c r="D5" s="67" t="str">
        <x:v>USD</x:v>
      </x:c>
      <x:c r="E5" s="237" t="n">
        <x:v>126.83</x:v>
      </x:c>
      <x:c r="F5" s="238" t="n">
        <x:v>840447</x:v>
      </x:c>
      <x:c r="G5" s="239" t="n">
        <x:v>445.559</x:v>
      </x:c>
      <x:c r="H5" s="68" t="str">
        <x:v>Assumed diluted</x:v>
      </x:c>
      <x:c r="I5" s="130" t="n">
        <x:f>F5/(G5*1000000)*100000000</x:f>
        <x:v>188627.54427584226</x:v>
      </x:c>
      <x:c r="J5" s="246" t="n">
        <x:v>445.559</x:v>
      </x:c>
      <x:c r="K5" s="261" t="n">
        <x:f>IF(J5="","",F5/(J5*1000000)*100000000)</x:f>
        <x:v>188627.54427584226</x:v>
      </x:c>
      <x:c r="L5" s="247" t="n">
        <x:v>6690</x:v>
      </x:c>
      <x:c r="M5" s="247" t="n">
        <x:v>6754</x:v>
      </x:c>
      <x:c r="N5" s="247" t="n">
        <x:v>15239</x:v>
      </x:c>
      <x:c r="O5" s="247"/>
      <x:c r="P5" s="247" t="n">
        <x:v>0</x:v>
      </x:c>
      <x:c r="Q5" s="247"/>
      <x:c r="R5" s="247"/>
      <x:c r="S5" s="247"/>
      <x:c r="T5" s="247" t="str">
        <x:v>N/A</x:v>
      </x:c>
      <x:c r="U5" s="247"/>
      <x:c r="V5" s="247"/>
      <x:c r="W5" s="68" t="str">
        <x:v>Recent decline</x:v>
      </x:c>
      <x:c r="X5" s="248" t="str">
        <x:v>High</x:v>
      </x:c>
      <x:c r="Y5" s="68" t="str">
        <x:v>Scenario issuance and fixed-charge roll-forward</x:v>
      </x:c>
    </x:row>
    <x:row r="6" ht="15" hidden="0" customHeight="1">
      <x:c r="A6" s="73" t="str">
        <x:v>Metaplanet</x:v>
      </x:c>
      <x:c r="B6" s="73" t="str">
        <x:v>3350.T</x:v>
      </x:c>
      <x:c r="C6" s="73" t="str">
        <x:v>Treasury + options</x:v>
      </x:c>
      <x:c r="D6" s="73" t="str">
        <x:v>JPY</x:v>
      </x:c>
      <x:c r="E6" s="240" t="n">
        <x:v>330</x:v>
      </x:c>
      <x:c r="F6" s="241" t="n">
        <x:v>43000</x:v>
      </x:c>
      <x:c r="G6" s="242" t="n">
        <x:v>1631.5442</x:v>
      </x:c>
      <x:c r="H6" s="74" t="str">
        <x:v>Fully diluted implied</x:v>
      </x:c>
      <x:c r="I6" s="136" t="n">
        <x:f>F6/(G6*1000000)*100000000</x:f>
        <x:v>2635.5399994679888</x:v>
      </x:c>
      <x:c r="J6" s="249" t="n">
        <x:v>1631.5442</x:v>
      </x:c>
      <x:c r="K6" s="262" t="n">
        <x:f>IF(J6="","",F6/(J6*1000000)*100000000)</x:f>
        <x:v>2635.5399994679888</x:v>
      </x:c>
      <x:c r="L6" s="250"/>
      <x:c r="M6" s="250" t="n">
        <x:v>73889.2254</x:v>
      </x:c>
      <x:c r="N6" s="250" t="n">
        <x:v>23586.8508</x:v>
      </x:c>
      <x:c r="O6" s="250"/>
      <x:c r="P6" s="250" t="n">
        <x:v>0</x:v>
      </x:c>
      <x:c r="Q6" s="250"/>
      <x:c r="R6" s="250"/>
      <x:c r="S6" s="250"/>
      <x:c r="T6" s="250" t="str">
        <x:v>N/A</x:v>
      </x:c>
      <x:c r="U6" s="250"/>
      <x:c r="V6" s="250"/>
      <x:c r="W6" s="74" t="str">
        <x:v>+9.6% H1 reported</x:v>
      </x:c>
      <x:c r="X6" s="251" t="str">
        <x:v>Medium-high</x:v>
      </x:c>
      <x:c r="Y6" s="74" t="str">
        <x:v>Exact cash and full J-GAAP liability reconciliation</x:v>
      </x:c>
    </x:row>
    <x:row r="7" ht="15" hidden="0" customHeight="1">
      <x:c r="A7" s="73" t="str">
        <x:v>American Bitcoin</x:v>
      </x:c>
      <x:c r="B7" s="73" t="str">
        <x:v>ABTC</x:v>
      </x:c>
      <x:c r="C7" s="73" t="str">
        <x:v>Miner + treasury</x:v>
      </x:c>
      <x:c r="D7" s="73" t="str">
        <x:v>USD</x:v>
      </x:c>
      <x:c r="E7" s="240" t="n">
        <x:v>9.24</x:v>
      </x:c>
      <x:c r="F7" s="241" t="n">
        <x:v>8002</x:v>
      </x:c>
      <x:c r="G7" s="242" t="n">
        <x:v>72.819713</x:v>
      </x:c>
      <x:c r="H7" s="74" t="str">
        <x:v>Outstanding/basic</x:v>
      </x:c>
      <x:c r="I7" s="136" t="n">
        <x:f>F7/(G7*1000000)*100000000</x:f>
        <x:v>10988.782666583704</x:v>
      </x:c>
      <x:c r="J7" s="249" t="n">
        <x:v>72.825077</x:v>
      </x:c>
      <x:c r="K7" s="262" t="n">
        <x:f>IF(J7="","",F7/(J7*1000000)*100000000)</x:f>
        <x:v>10987.973277391797</x:v>
      </x:c>
      <x:c r="L7" s="250" t="n">
        <x:v>18.354</x:v>
      </x:c>
      <x:c r="M7" s="250"/>
      <x:c r="N7" s="250" t="n">
        <x:v>0</x:v>
      </x:c>
      <x:c r="O7" s="250" t="n">
        <x:v>637.351</x:v>
      </x:c>
      <x:c r="P7" s="250" t="n">
        <x:v>3090</x:v>
      </x:c>
      <x:c r="Q7" s="250" t="n">
        <x:v>25</x:v>
      </x:c>
      <x:c r="R7" s="250" t="n">
        <x:v>14.1</x:v>
      </x:c>
      <x:c r="S7" s="250" t="n">
        <x:v>932</x:v>
      </x:c>
      <x:c r="T7" s="250" t="str">
        <x:v>Q2 2026</x:v>
      </x:c>
      <x:c r="U7" s="250" t="n">
        <x:v>36500</x:v>
      </x:c>
      <x:c r="V7" s="250" t="n">
        <x:v>1714.8</x:v>
      </x:c>
      <x:c r="W7" s="74" t="str">
        <x:v>+11% Q/Q reported</x:v>
      </x:c>
      <x:c r="X7" s="251" t="str">
        <x:v>High</x:v>
      </x:c>
      <x:c r="Y7" s="74" t="str">
        <x:v>Scenario ATM take-up and equipment-obligation treatment</x:v>
      </x:c>
    </x:row>
    <x:row r="8" ht="15" hidden="0" customHeight="1">
      <x:c r="A8" s="73" t="str">
        <x:v>Twenty One Capital</x:v>
      </x:c>
      <x:c r="B8" s="73" t="str">
        <x:v>XXI</x:v>
      </x:c>
      <x:c r="C8" s="73" t="str">
        <x:v>BTC treasury</x:v>
      </x:c>
      <x:c r="D8" s="73" t="str">
        <x:v>USD</x:v>
      </x:c>
      <x:c r="E8" s="240" t="n">
        <x:v>6.51</x:v>
      </x:c>
      <x:c r="F8" s="241" t="n">
        <x:v>43514</x:v>
      </x:c>
      <x:c r="G8" s="242" t="n">
        <x:v>346.807836</x:v>
      </x:c>
      <x:c r="H8" s="74" t="str">
        <x:v>Economic Class A</x:v>
      </x:c>
      <x:c r="I8" s="136" t="n">
        <x:f>F8/(G8*1000000)*100000000</x:f>
        <x:v>12547.006002482596</x:v>
      </x:c>
      <x:c r="J8" s="249" t="n">
        <x:v>397.351801</x:v>
      </x:c>
      <x:c r="K8" s="262" t="n">
        <x:f>IF(J8="","",F8/(J8*1000000)*100000000)</x:f>
        <x:v>10951.001075241133</x:v>
      </x:c>
      <x:c r="L8" s="250" t="n">
        <x:v>114.057427</x:v>
      </x:c>
      <x:c r="M8" s="250" t="n">
        <x:v>486.5</x:v>
      </x:c>
      <x:c r="N8" s="250" t="n">
        <x:v>0</x:v>
      </x:c>
      <x:c r="O8" s="250" t="n">
        <x:v>489.300409</x:v>
      </x:c>
      <x:c r="P8" s="250" t="n">
        <x:v>16116</x:v>
      </x:c>
      <x:c r="Q8" s="250"/>
      <x:c r="R8" s="250"/>
      <x:c r="S8" s="250"/>
      <x:c r="T8" s="250" t="str">
        <x:v>N/A</x:v>
      </x:c>
      <x:c r="U8" s="250"/>
      <x:c r="V8" s="250"/>
      <x:c r="W8" s="74" t="str">
        <x:v>Essentially flat</x:v>
      </x:c>
      <x:c r="X8" s="251" t="str">
        <x:v>High</x:v>
      </x:c>
      <x:c r="Y8" s="74" t="str">
        <x:v>RSU count and price-dependent conversion treatment</x:v>
      </x:c>
    </x:row>
    <x:row r="9" ht="15" hidden="0" customHeight="1">
      <x:c r="A9" s="73" t="str">
        <x:v>CleanSpark</x:v>
      </x:c>
      <x:c r="B9" s="73" t="str">
        <x:v>CLSK</x:v>
      </x:c>
      <x:c r="C9" s="73" t="str">
        <x:v>Miner + HPC option</x:v>
      </x:c>
      <x:c r="D9" s="73" t="str">
        <x:v>USD</x:v>
      </x:c>
      <x:c r="E9" s="240" t="n">
        <x:v>12.71</x:v>
      </x:c>
      <x:c r="F9" s="241" t="n">
        <x:v>13931</x:v>
      </x:c>
      <x:c r="G9" s="242" t="n">
        <x:v>256.79628</x:v>
      </x:c>
      <x:c r="H9" s="74" t="str">
        <x:v>Basic outstanding</x:v>
      </x:c>
      <x:c r="I9" s="136" t="n">
        <x:f>F9/(G9*1000000)*100000000</x:f>
        <x:v>5424.922822090724</x:v>
      </x:c>
      <x:c r="J9" s="249" t="n">
        <x:v>319.212047</x:v>
      </x:c>
      <x:c r="K9" s="262" t="n">
        <x:f>IF(J9="","",F9/(J9*1000000)*100000000)</x:f>
        <x:v>4364.183661276418</x:v>
      </x:c>
      <x:c r="L9" s="250" t="n">
        <x:v>202.601</x:v>
      </x:c>
      <x:c r="M9" s="250" t="n">
        <x:v>1770.878</x:v>
      </x:c>
      <x:c r="N9" s="250"/>
      <x:c r="O9" s="250" t="n">
        <x:v>1940.916</x:v>
      </x:c>
      <x:c r="P9" s="250"/>
      <x:c r="Q9" s="250" t="n">
        <x:v>38.6</x:v>
      </x:c>
      <x:c r="R9" s="250" t="n">
        <x:v>16.07</x:v>
      </x:c>
      <x:c r="S9" s="250" t="n">
        <x:v>586</x:v>
      </x:c>
      <x:c r="T9" s="250" t="str">
        <x:v>July 2026</x:v>
      </x:c>
      <x:c r="U9" s="250" t="n">
        <x:v>44317</x:v>
      </x:c>
      <x:c r="V9" s="250"/>
      <x:c r="W9" s="74" t="str">
        <x:v>Needs roll-forward</x:v>
      </x:c>
      <x:c r="X9" s="251" t="str">
        <x:v>High</x:v>
      </x:c>
      <x:c r="Y9" s="74" t="str">
        <x:v>HPC funding, lease cash flows and scenario dilution</x:v>
      </x:c>
    </x:row>
    <x:row r="10" ht="15" hidden="0" customHeight="1">
      <x:c r="A10" s="79" t="str">
        <x:v>MARA</x:v>
      </x:c>
      <x:c r="B10" s="79" t="str">
        <x:v>MARA</x:v>
      </x:c>
      <x:c r="C10" s="79" t="str">
        <x:v>Miner + infrastructure</x:v>
      </x:c>
      <x:c r="D10" s="79" t="str">
        <x:v>USD</x:v>
      </x:c>
      <x:c r="E10" s="243" t="n">
        <x:v>11.83</x:v>
      </x:c>
      <x:c r="F10" s="244" t="n">
        <x:v>35577</x:v>
      </x:c>
      <x:c r="G10" s="245" t="n">
        <x:v>386.299297</x:v>
      </x:c>
      <x:c r="H10" s="80" t="str">
        <x:v>Basic outstanding</x:v>
      </x:c>
      <x:c r="I10" s="142" t="n">
        <x:f>F10/(G10*1000000)*100000000</x:f>
        <x:v>9209.698354693097</x:v>
      </x:c>
      <x:c r="J10" s="252" t="n">
        <x:v>468.991144</x:v>
      </x:c>
      <x:c r="K10" s="263" t="n">
        <x:f>IF(J10="","",F10/(J10*1000000)*100000000)</x:f>
        <x:v>7585.857527407809</x:v>
      </x:c>
      <x:c r="L10" s="253" t="n">
        <x:v>421.3</x:v>
      </x:c>
      <x:c r="M10" s="253" t="n">
        <x:v>2447.201</x:v>
      </x:c>
      <x:c r="N10" s="253" t="n">
        <x:v>0</x:v>
      </x:c>
      <x:c r="O10" s="253"/>
      <x:c r="P10" s="253" t="n">
        <x:v>9270</x:v>
      </x:c>
      <x:c r="Q10" s="253" t="n">
        <x:v>70.3</x:v>
      </x:c>
      <x:c r="R10" s="253" t="n">
        <x:v>17.3</x:v>
      </x:c>
      <x:c r="S10" s="253" t="n">
        <x:v>2422</x:v>
      </x:c>
      <x:c r="T10" s="253" t="str">
        <x:v>Q2 2026</x:v>
      </x:c>
      <x:c r="U10" s="253" t="n">
        <x:v>38690</x:v>
      </x:c>
      <x:c r="V10" s="253" t="n">
        <x:v>1500</x:v>
      </x:c>
      <x:c r="W10" s="80" t="str">
        <x:v>Declining</x:v>
      </x:c>
      <x:c r="X10" s="254" t="str">
        <x:v>High</x:v>
      </x:c>
      <x:c r="Y10" s="80" t="str">
        <x:v>Post-quarter debt, acquisitions and BTC/share roll-forward</x:v>
      </x:c>
    </x:row>
  </x:sheetData>
  <x:mergeCells>
    <x:mergeCell ref="A1:Y2"/>
    <x:mergeCell ref="A3:Y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</x:cols>
  <x:sheetData>
    <x:row r="1" ht="28" customHeight="1">
      <x:c r="A1" s="60" t="str">
        <x:v>Corrected Treasury Valuation</x:v>
      </x:c>
      <x:c r="B1" s="60" t="str">
        <x:v>Corrected Treasury Valuation</x:v>
      </x:c>
      <x:c r="C1" s="60" t="str">
        <x:v>Corrected Treasury Valuation</x:v>
      </x:c>
      <x:c r="D1" s="60" t="str">
        <x:v>Corrected Treasury Valuation</x:v>
      </x:c>
      <x:c r="E1" s="60" t="str">
        <x:v>Corrected Treasury Valuation</x:v>
      </x:c>
      <x:c r="F1" s="60" t="str">
        <x:v>Corrected Treasury Valuation</x:v>
      </x:c>
      <x:c r="G1" s="60" t="str">
        <x:v>Corrected Treasury Valuation</x:v>
      </x:c>
      <x:c r="H1" s="60" t="str">
        <x:v>Corrected Treasury Valuation</x:v>
      </x:c>
      <x:c r="I1" s="60" t="str">
        <x:v>Corrected Treasury Valuation</x:v>
      </x:c>
      <x:c r="J1" s="60" t="str">
        <x:v>Corrected Treasury Valuation</x:v>
      </x:c>
      <x:c r="K1" s="60" t="str">
        <x:v>Corrected Treasury Valuation</x:v>
      </x:c>
      <x:c r="L1" s="60" t="str">
        <x:v>Corrected Treasury Valuation</x:v>
      </x:c>
      <x:c r="M1" s="60" t="str">
        <x:v>Corrected Treasury Valuation</x:v>
      </x:c>
      <x:c r="N1" s="60" t="str">
        <x:v>Corrected Treasury Valuation</x:v>
      </x:c>
    </x:row>
    <x:row r="2" ht="28" customHeight="1">
      <x:c r="A2" s="60" t="str">
        <x:v>Corrected Treasury Valuation</x:v>
      </x:c>
      <x:c r="B2" s="60" t="str">
        <x:v>Corrected Treasury Valuation</x:v>
      </x:c>
      <x:c r="C2" s="60" t="str">
        <x:v>Corrected Treasury Valuation</x:v>
      </x:c>
      <x:c r="D2" s="60" t="str">
        <x:v>Corrected Treasury Valuation</x:v>
      </x:c>
      <x:c r="E2" s="60" t="str">
        <x:v>Corrected Treasury Valuation</x:v>
      </x:c>
      <x:c r="F2" s="60" t="str">
        <x:v>Corrected Treasury Valuation</x:v>
      </x:c>
      <x:c r="G2" s="60" t="str">
        <x:v>Corrected Treasury Valuation</x:v>
      </x:c>
      <x:c r="H2" s="60" t="str">
        <x:v>Corrected Treasury Valuation</x:v>
      </x:c>
      <x:c r="I2" s="60" t="str">
        <x:v>Corrected Treasury Valuation</x:v>
      </x:c>
      <x:c r="J2" s="60" t="str">
        <x:v>Corrected Treasury Valuation</x:v>
      </x:c>
      <x:c r="K2" s="60" t="str">
        <x:v>Corrected Treasury Valuation</x:v>
      </x:c>
      <x:c r="L2" s="60" t="str">
        <x:v>Corrected Treasury Valuation</x:v>
      </x:c>
      <x:c r="M2" s="60" t="str">
        <x:v>Corrected Treasury Valuation</x:v>
      </x:c>
      <x:c r="N2" s="60" t="str">
        <x:v>Corrected Treasury Valuation</x:v>
      </x:c>
    </x:row>
    <x:row r="3" ht="15" hidden="0" customHeight="1">
      <x:c r="A3" s="162" t="str">
        <x:v>Strategy and Metaplanet correct the uploaded denominator mismatch. Metaplanet's senior-claims value is implied and must be reconciled to filings.</x:v>
      </x:c>
      <x:c r="B3" s="162" t="str">
        <x:v>Strategy and Metaplanet correct the uploaded denominator mismatch. Metaplanet's senior-claims value is implied and must be reconciled to filings.</x:v>
      </x:c>
      <x:c r="C3" s="162" t="str">
        <x:v>Strategy and Metaplanet correct the uploaded denominator mismatch. Metaplanet's senior-claims value is implied and must be reconciled to filings.</x:v>
      </x:c>
      <x:c r="D3" s="162" t="str">
        <x:v>Strategy and Metaplanet correct the uploaded denominator mismatch. Metaplanet's senior-claims value is implied and must be reconciled to filings.</x:v>
      </x:c>
      <x:c r="E3" s="162" t="str">
        <x:v>Strategy and Metaplanet correct the uploaded denominator mismatch. Metaplanet's senior-claims value is implied and must be reconciled to filings.</x:v>
      </x:c>
      <x:c r="F3" s="162" t="str">
        <x:v>Strategy and Metaplanet correct the uploaded denominator mismatch. Metaplanet's senior-claims value is implied and must be reconciled to filings.</x:v>
      </x:c>
      <x:c r="G3" s="162" t="str">
        <x:v>Strategy and Metaplanet correct the uploaded denominator mismatch. Metaplanet's senior-claims value is implied and must be reconciled to filings.</x:v>
      </x:c>
      <x:c r="H3" s="162" t="str">
        <x:v>Strategy and Metaplanet correct the uploaded denominator mismatch. Metaplanet's senior-claims value is implied and must be reconciled to filings.</x:v>
      </x:c>
      <x:c r="I3" s="162" t="str">
        <x:v>Strategy and Metaplanet correct the uploaded denominator mismatch. Metaplanet's senior-claims value is implied and must be reconciled to filings.</x:v>
      </x:c>
      <x:c r="J3" s="162" t="str">
        <x:v>Strategy and Metaplanet correct the uploaded denominator mismatch. Metaplanet's senior-claims value is implied and must be reconciled to filings.</x:v>
      </x:c>
      <x:c r="K3" s="162" t="str">
        <x:v>Strategy and Metaplanet correct the uploaded denominator mismatch. Metaplanet's senior-claims value is implied and must be reconciled to filings.</x:v>
      </x:c>
      <x:c r="L3" s="162" t="str">
        <x:v>Strategy and Metaplanet correct the uploaded denominator mismatch. Metaplanet's senior-claims value is implied and must be reconciled to filings.</x:v>
      </x:c>
      <x:c r="M3" s="162" t="str">
        <x:v>Strategy and Metaplanet correct the uploaded denominator mismatch. Metaplanet's senior-claims value is implied and must be reconciled to filings.</x:v>
      </x:c>
      <x:c r="N3" s="162" t="str">
        <x:v>Strategy and Metaplanet correct the uploaded denominator mismatch. Metaplanet's senior-claims value is implied and must be reconciled to filings.</x:v>
      </x:c>
    </x:row>
    <x:row r="4" ht="26.399999618530273" hidden="0" customHeight="1">
      <x:c r="A4" s="64" t="str">
        <x:v>Company</x:v>
      </x:c>
      <x:c r="B4" s="65" t="str">
        <x:v>Scenario</x:v>
      </x:c>
      <x:c r="C4" s="65" t="str">
        <x:v>BTC multiplier</x:v>
      </x:c>
      <x:c r="D4" s="65" t="str">
        <x:v>BTC price local</x:v>
      </x:c>
      <x:c r="E4" s="65" t="str">
        <x:v>BTC held</x:v>
      </x:c>
      <x:c r="F4" s="65" t="str">
        <x:v>Gross BTC assets M</x:v>
      </x:c>
      <x:c r="G4" s="65" t="str">
        <x:v>Cash M</x:v>
      </x:c>
      <x:c r="H4" s="65" t="str">
        <x:v>Debt M</x:v>
      </x:c>
      <x:c r="I4" s="65" t="str">
        <x:v>Preferred / implied claims M</x:v>
      </x:c>
      <x:c r="J4" s="65" t="str">
        <x:v>Shares M</x:v>
      </x:c>
      <x:c r="K4" s="65" t="str">
        <x:v>Net reserve/share</x:v>
      </x:c>
      <x:c r="L4" s="65" t="str">
        <x:v>Stock price</x:v>
      </x:c>
      <x:c r="M4" s="65" t="str">
        <x:v>mNAV</x:v>
      </x:c>
      <x:c r="N4" s="66" t="str">
        <x:v>Validity</x:v>
      </x:c>
    </x:row>
    <x:row r="5" ht="15" hidden="0" customHeight="1">
      <x:c r="A5" s="67" t="str">
        <x:v>Strategy</x:v>
      </x:c>
      <x:c r="B5" s="67" t="str">
        <x:v>Current</x:v>
      </x:c>
      <x:c r="C5" s="67" t="n">
        <x:f>'Assumptions'!C7</x:f>
        <x:v>1</x:v>
      </x:c>
      <x:c r="D5" s="130" t="n">
        <x:f>'Assumptions'!D7</x:f>
        <x:v>78511.23</x:v>
      </x:c>
      <x:c r="E5" s="130" t="n">
        <x:v>840447</x:v>
      </x:c>
      <x:c r="F5" s="130" t="n">
        <x:f>D5*E5/1000000</x:f>
        <x:v>65984.52771981</x:v>
      </x:c>
      <x:c r="G5" s="130" t="n">
        <x:v>6690</x:v>
      </x:c>
      <x:c r="H5" s="130" t="n">
        <x:v>6750</x:v>
      </x:c>
      <x:c r="I5" s="130" t="n">
        <x:v>14970</x:v>
      </x:c>
      <x:c r="J5" s="130" t="n">
        <x:v>445.559</x:v>
      </x:c>
      <x:c r="K5" s="127" t="n">
        <x:f>(F5+G5-H5-I5)/J5</x:f>
        <x:v>114.36089882554272</x:v>
      </x:c>
      <x:c r="L5" s="127" t="n">
        <x:v>126</x:v>
      </x:c>
      <x:c r="M5" s="163" t="n">
        <x:f>L5/K5</x:f>
        <x:v>1.1017751809752099</x:v>
      </x:c>
      <x:c r="N5" s="67" t="str">
        <x:v>Corrected simplified model</x:v>
      </x:c>
    </x:row>
    <x:row r="6" ht="15" hidden="0" customHeight="1">
      <x:c r="A6" s="73" t="str">
        <x:v>Strategy</x:v>
      </x:c>
      <x:c r="B6" s="73" t="str">
        <x:v>BTC +50%</x:v>
      </x:c>
      <x:c r="C6" s="73" t="n">
        <x:f>'Assumptions'!C8</x:f>
        <x:v>1.5</x:v>
      </x:c>
      <x:c r="D6" s="136" t="n">
        <x:f>'Assumptions'!D8</x:f>
        <x:v>117766.845</x:v>
      </x:c>
      <x:c r="E6" s="136" t="n">
        <x:v>840447</x:v>
      </x:c>
      <x:c r="F6" s="136" t="n">
        <x:f>D6*E6/1000000</x:f>
        <x:v>98976.79157971499</x:v>
      </x:c>
      <x:c r="G6" s="136" t="n">
        <x:v>6690</x:v>
      </x:c>
      <x:c r="H6" s="136" t="n">
        <x:v>6750</x:v>
      </x:c>
      <x:c r="I6" s="136" t="n">
        <x:v>14970</x:v>
      </x:c>
      <x:c r="J6" s="136" t="n">
        <x:v>445.559</x:v>
      </x:c>
      <x:c r="K6" s="133" t="n">
        <x:f>(F6+G6-H6-I6)/J6</x:f>
        <x:v>188.4078013904219</x:v>
      </x:c>
      <x:c r="L6" s="133" t="n">
        <x:v>126</x:v>
      </x:c>
      <x:c r="M6" s="164" t="n">
        <x:f>L6/K6</x:f>
        <x:v>0.6687621163780826</x:v>
      </x:c>
      <x:c r="N6" s="73" t="str">
        <x:v>Corrected simplified model</x:v>
      </x:c>
    </x:row>
    <x:row r="7" ht="15" hidden="0" customHeight="1">
      <x:c r="A7" s="73" t="str">
        <x:v>Strategy</x:v>
      </x:c>
      <x:c r="B7" s="73" t="str">
        <x:v>BTC +100%</x:v>
      </x:c>
      <x:c r="C7" s="73" t="n">
        <x:f>'Assumptions'!C9</x:f>
        <x:v>2</x:v>
      </x:c>
      <x:c r="D7" s="136" t="n">
        <x:f>'Assumptions'!D9</x:f>
        <x:v>157022.46</x:v>
      </x:c>
      <x:c r="E7" s="136" t="n">
        <x:v>840447</x:v>
      </x:c>
      <x:c r="F7" s="136" t="n">
        <x:f>D7*E7/1000000</x:f>
        <x:v>131969.05543962</x:v>
      </x:c>
      <x:c r="G7" s="136" t="n">
        <x:v>6690</x:v>
      </x:c>
      <x:c r="H7" s="136" t="n">
        <x:v>6750</x:v>
      </x:c>
      <x:c r="I7" s="136" t="n">
        <x:v>14970</x:v>
      </x:c>
      <x:c r="J7" s="136" t="n">
        <x:v>445.559</x:v>
      </x:c>
      <x:c r="K7" s="133" t="n">
        <x:f>(F7+G7-H7-I7)/J7</x:f>
        <x:v>262.45470395530106</x:v>
      </x:c>
      <x:c r="L7" s="133" t="n">
        <x:v>126</x:v>
      </x:c>
      <x:c r="M7" s="164" t="n">
        <x:f>L7/K7</x:f>
        <x:v>0.4800828413479653</x:v>
      </x:c>
      <x:c r="N7" s="73" t="str">
        <x:v>Corrected simplified model</x:v>
      </x:c>
    </x:row>
    <x:row r="8" ht="15" hidden="0" customHeight="1">
      <x:c r="A8" s="73" t="str">
        <x:v>Strategy</x:v>
      </x:c>
      <x:c r="B8" s="73" t="str">
        <x:v>BTC +200%</x:v>
      </x:c>
      <x:c r="C8" s="73" t="n">
        <x:f>'Assumptions'!C10</x:f>
        <x:v>3</x:v>
      </x:c>
      <x:c r="D8" s="136" t="n">
        <x:f>'Assumptions'!D10</x:f>
        <x:v>235533.69</x:v>
      </x:c>
      <x:c r="E8" s="136" t="n">
        <x:v>840447</x:v>
      </x:c>
      <x:c r="F8" s="136" t="n">
        <x:f>D8*E8/1000000</x:f>
        <x:v>197953.58315942998</x:v>
      </x:c>
      <x:c r="G8" s="136" t="n">
        <x:v>6690</x:v>
      </x:c>
      <x:c r="H8" s="136" t="n">
        <x:v>6750</x:v>
      </x:c>
      <x:c r="I8" s="136" t="n">
        <x:v>14970</x:v>
      </x:c>
      <x:c r="J8" s="136" t="n">
        <x:v>445.559</x:v>
      </x:c>
      <x:c r="K8" s="133" t="n">
        <x:f>(F8+G8-H8-I8)/J8</x:f>
        <x:v>410.5485090850594</x:v>
      </x:c>
      <x:c r="L8" s="133" t="n">
        <x:v>126</x:v>
      </x:c>
      <x:c r="M8" s="164" t="n">
        <x:f>L8/K8</x:f>
        <x:v>0.3069064853768467</x:v>
      </x:c>
      <x:c r="N8" s="73" t="str">
        <x:v>Corrected simplified model</x:v>
      </x:c>
    </x:row>
    <x:row r="9" ht="15" hidden="0" customHeight="1">
      <x:c r="A9" s="73" t="str">
        <x:v>Metaplanet</x:v>
      </x:c>
      <x:c r="B9" s="73" t="str">
        <x:v>Current</x:v>
      </x:c>
      <x:c r="C9" s="73" t="n">
        <x:f>'Assumptions'!C7</x:f>
        <x:v>1</x:v>
      </x:c>
      <x:c r="D9" s="136" t="n">
        <x:f>'Assumptions'!$L$8*C9</x:f>
        <x:v>12500558.04</x:v>
      </x:c>
      <x:c r="E9" s="136" t="n">
        <x:v>43000</x:v>
      </x:c>
      <x:c r="F9" s="136" t="n">
        <x:f>D9*E9/1000000</x:f>
        <x:v>537523.9957199999</x:v>
      </x:c>
      <x:c r="G9" s="136" t="n">
        <x:v>0</x:v>
      </x:c>
      <x:c r="H9" s="136" t="n">
        <x:v>0</x:v>
      </x:c>
      <x:c r="I9" s="136" t="n">
        <x:v>99538</x:v>
      </x:c>
      <x:c r="J9" s="136" t="n">
        <x:v>1631.5442</x:v>
      </x:c>
      <x:c r="K9" s="133" t="n">
        <x:f>(F9+G9-H9-I9)/J9</x:f>
        <x:v>268.4487467271802</x:v>
      </x:c>
      <x:c r="L9" s="133" t="n">
        <x:v>305</x:v>
      </x:c>
      <x:c r="M9" s="164" t="n">
        <x:f>L9/K9</x:f>
        <x:v>1.1361572878191388</x:v>
      </x:c>
      <x:c r="N9" s="165" t="str">
        <x:v>Provisional; implied claims</x:v>
      </x:c>
    </x:row>
    <x:row r="10" ht="15" hidden="0" customHeight="1">
      <x:c r="A10" s="73" t="str">
        <x:v>Metaplanet</x:v>
      </x:c>
      <x:c r="B10" s="73" t="str">
        <x:v>BTC +50%</x:v>
      </x:c>
      <x:c r="C10" s="73" t="n">
        <x:f>'Assumptions'!C8</x:f>
        <x:v>1.5</x:v>
      </x:c>
      <x:c r="D10" s="136" t="n">
        <x:f>'Assumptions'!$L$8*C10</x:f>
        <x:v>18750837.06</x:v>
      </x:c>
      <x:c r="E10" s="136" t="n">
        <x:v>43000</x:v>
      </x:c>
      <x:c r="F10" s="136" t="n">
        <x:f>D10*E10/1000000</x:f>
        <x:v>806285.99358</x:v>
      </x:c>
      <x:c r="G10" s="136" t="n">
        <x:v>0</x:v>
      </x:c>
      <x:c r="H10" s="136" t="n">
        <x:v>0</x:v>
      </x:c>
      <x:c r="I10" s="136" t="n">
        <x:v>99538</x:v>
      </x:c>
      <x:c r="J10" s="136" t="n">
        <x:v>1631.5442</x:v>
      </x:c>
      <x:c r="K10" s="133" t="n">
        <x:f>(F10+G10-H10-I10)/J10</x:f>
        <x:v>433.1773503776361</x:v>
      </x:c>
      <x:c r="L10" s="133" t="n">
        <x:v>305</x:v>
      </x:c>
      <x:c r="M10" s="164" t="n">
        <x:f>L10/K10</x:f>
        <x:v>0.7040996020085227</x:v>
      </x:c>
      <x:c r="N10" s="165" t="str">
        <x:v>Provisional; implied claims</x:v>
      </x:c>
    </x:row>
    <x:row r="11" ht="15" hidden="0" customHeight="1">
      <x:c r="A11" s="73" t="str">
        <x:v>Metaplanet</x:v>
      </x:c>
      <x:c r="B11" s="73" t="str">
        <x:v>BTC +100%</x:v>
      </x:c>
      <x:c r="C11" s="73" t="n">
        <x:f>'Assumptions'!C9</x:f>
        <x:v>2</x:v>
      </x:c>
      <x:c r="D11" s="136" t="n">
        <x:f>'Assumptions'!$L$8*C11</x:f>
        <x:v>25001116.08</x:v>
      </x:c>
      <x:c r="E11" s="136" t="n">
        <x:v>43000</x:v>
      </x:c>
      <x:c r="F11" s="136" t="n">
        <x:f>D11*E11/1000000</x:f>
        <x:v>1075047.9914399998</x:v>
      </x:c>
      <x:c r="G11" s="136" t="n">
        <x:v>0</x:v>
      </x:c>
      <x:c r="H11" s="136" t="n">
        <x:v>0</x:v>
      </x:c>
      <x:c r="I11" s="136" t="n">
        <x:v>99538</x:v>
      </x:c>
      <x:c r="J11" s="136" t="n">
        <x:v>1631.5442</x:v>
      </x:c>
      <x:c r="K11" s="133" t="n">
        <x:f>(F11+G11-H11-I11)/J11</x:f>
        <x:v>597.9059540280917</x:v>
      </x:c>
      <x:c r="L11" s="133" t="n">
        <x:v>305</x:v>
      </x:c>
      <x:c r="M11" s="164" t="n">
        <x:f>L11/K11</x:f>
        <x:v>0.5101136691234054</x:v>
      </x:c>
      <x:c r="N11" s="165" t="str">
        <x:v>Provisional; implied claims</x:v>
      </x:c>
    </x:row>
    <x:row r="12" ht="15" hidden="0" customHeight="1">
      <x:c r="A12" s="73" t="str">
        <x:v>Metaplanet</x:v>
      </x:c>
      <x:c r="B12" s="73" t="str">
        <x:v>BTC +200%</x:v>
      </x:c>
      <x:c r="C12" s="73" t="n">
        <x:f>'Assumptions'!C10</x:f>
        <x:v>3</x:v>
      </x:c>
      <x:c r="D12" s="136" t="n">
        <x:f>'Assumptions'!$L$8*C12</x:f>
        <x:v>37501674.12</x:v>
      </x:c>
      <x:c r="E12" s="136" t="n">
        <x:v>43000</x:v>
      </x:c>
      <x:c r="F12" s="136" t="n">
        <x:f>D12*E12/1000000</x:f>
        <x:v>1612571.98716</x:v>
      </x:c>
      <x:c r="G12" s="136" t="n">
        <x:v>0</x:v>
      </x:c>
      <x:c r="H12" s="136" t="n">
        <x:v>0</x:v>
      </x:c>
      <x:c r="I12" s="136" t="n">
        <x:v>99538</x:v>
      </x:c>
      <x:c r="J12" s="136" t="n">
        <x:v>1631.5442</x:v>
      </x:c>
      <x:c r="K12" s="133" t="n">
        <x:f>(F12+G12-H12-I12)/J12</x:f>
        <x:v>927.3631613290036</x:v>
      </x:c>
      <x:c r="L12" s="133" t="n">
        <x:v>305</x:v>
      </x:c>
      <x:c r="M12" s="164" t="n">
        <x:f>L12/K12</x:f>
        <x:v>0.32888949304704396</x:v>
      </x:c>
      <x:c r="N12" s="165" t="str">
        <x:v>Provisional; implied claims</x:v>
      </x:c>
    </x:row>
    <x:row r="13" ht="15" hidden="0" customHeight="1">
      <x:c r="A13" s="73" t="str">
        <x:v>Twenty One Capital</x:v>
      </x:c>
      <x:c r="B13" s="73" t="str">
        <x:v>Current</x:v>
      </x:c>
      <x:c r="C13" s="73" t="n">
        <x:f>'Assumptions'!C7</x:f>
        <x:v>1</x:v>
      </x:c>
      <x:c r="D13" s="136" t="n">
        <x:f>'Assumptions'!D7</x:f>
        <x:v>78511.23</x:v>
      </x:c>
      <x:c r="E13" s="136" t="n">
        <x:v>43514</x:v>
      </x:c>
      <x:c r="F13" s="136" t="n">
        <x:f>D13*E13/1000000</x:f>
        <x:v>3416.33766222</x:v>
      </x:c>
      <x:c r="G13" s="136" t="n">
        <x:v>114.057</x:v>
      </x:c>
      <x:c r="H13" s="136" t="n">
        <x:v>486.5</x:v>
      </x:c>
      <x:c r="I13" s="136" t="n">
        <x:v>0</x:v>
      </x:c>
      <x:c r="J13" s="136" t="n">
        <x:v>346.807836</x:v>
      </x:c>
      <x:c r="K13" s="133" t="n">
        <x:f>(F13+G13-H13-I13)/J13</x:f>
        <x:v>8.776891252883916</x:v>
      </x:c>
      <x:c r="L13" s="133" t="n">
        <x:v>6.32</x:v>
      </x:c>
      <x:c r="M13" s="164" t="n">
        <x:f>L13/K13</x:f>
        <x:v>0.7200727248299187</x:v>
      </x:c>
      <x:c r="N13" s="73" t="str">
        <x:v>Current structure usable</x:v>
      </x:c>
    </x:row>
    <x:row r="14" ht="15" hidden="0" customHeight="1">
      <x:c r="A14" s="73" t="str">
        <x:v>Twenty One Capital</x:v>
      </x:c>
      <x:c r="B14" s="73" t="str">
        <x:v>BTC +50%</x:v>
      </x:c>
      <x:c r="C14" s="73" t="n">
        <x:f>'Assumptions'!C8</x:f>
        <x:v>1.5</x:v>
      </x:c>
      <x:c r="D14" s="136" t="n">
        <x:f>'Assumptions'!D8</x:f>
        <x:v>117766.845</x:v>
      </x:c>
      <x:c r="E14" s="136" t="n">
        <x:v>43514</x:v>
      </x:c>
      <x:c r="F14" s="136" t="n">
        <x:f>D14*E14/1000000</x:f>
        <x:v>5124.50649333</x:v>
      </x:c>
      <x:c r="G14" s="136" t="n">
        <x:v>114.057</x:v>
      </x:c>
      <x:c r="H14" s="136" t="n">
        <x:v>486.5</x:v>
      </x:c>
      <x:c r="I14" s="136" t="n">
        <x:v>0</x:v>
      </x:c>
      <x:c r="J14" s="136" t="n">
        <x:v>346.807836</x:v>
      </x:c>
      <x:c r="K14" s="133" t="n">
        <x:f>(F14+G14-H14-I14)/J14</x:f>
        <x:v>13.702295623245375</x:v>
      </x:c>
      <x:c r="L14" s="133" t="n">
        <x:v>6.32</x:v>
      </x:c>
      <x:c r="M14" s="164" t="n">
        <x:f>L14/K14</x:f>
        <x:v>0.46123658208617124</x:v>
      </x:c>
      <x:c r="N14" s="166" t="str">
        <x:v>Invalid until conversion modeled</x:v>
      </x:c>
    </x:row>
    <x:row r="15" ht="15" hidden="0" customHeight="1">
      <x:c r="A15" s="73" t="str">
        <x:v>Twenty One Capital</x:v>
      </x:c>
      <x:c r="B15" s="73" t="str">
        <x:v>BTC +100%</x:v>
      </x:c>
      <x:c r="C15" s="73" t="n">
        <x:f>'Assumptions'!C9</x:f>
        <x:v>2</x:v>
      </x:c>
      <x:c r="D15" s="136" t="n">
        <x:f>'Assumptions'!D9</x:f>
        <x:v>157022.46</x:v>
      </x:c>
      <x:c r="E15" s="136" t="n">
        <x:v>43514</x:v>
      </x:c>
      <x:c r="F15" s="136" t="n">
        <x:f>D15*E15/1000000</x:f>
        <x:v>6832.67532444</x:v>
      </x:c>
      <x:c r="G15" s="136" t="n">
        <x:v>114.057</x:v>
      </x:c>
      <x:c r="H15" s="136" t="n">
        <x:v>486.5</x:v>
      </x:c>
      <x:c r="I15" s="136" t="n">
        <x:v>0</x:v>
      </x:c>
      <x:c r="J15" s="136" t="n">
        <x:v>346.807836</x:v>
      </x:c>
      <x:c r="K15" s="133" t="n">
        <x:f>(F15+G15-H15-I15)/J15</x:f>
        <x:v>18.627699993606832</x:v>
      </x:c>
      <x:c r="L15" s="133" t="n">
        <x:v>6.32</x:v>
      </x:c>
      <x:c r="M15" s="164" t="n">
        <x:f>L15/K15</x:f>
        <x:v>0.3392796750092106</x:v>
      </x:c>
      <x:c r="N15" s="166" t="str">
        <x:v>Invalid until conversion modeled</x:v>
      </x:c>
    </x:row>
    <x:row r="16" ht="15" hidden="0" customHeight="1">
      <x:c r="A16" s="79" t="str">
        <x:v>Twenty One Capital</x:v>
      </x:c>
      <x:c r="B16" s="79" t="str">
        <x:v>BTC +200%</x:v>
      </x:c>
      <x:c r="C16" s="79" t="n">
        <x:f>'Assumptions'!C10</x:f>
        <x:v>3</x:v>
      </x:c>
      <x:c r="D16" s="142" t="n">
        <x:f>'Assumptions'!D10</x:f>
        <x:v>235533.69</x:v>
      </x:c>
      <x:c r="E16" s="142" t="n">
        <x:v>43514</x:v>
      </x:c>
      <x:c r="F16" s="142" t="n">
        <x:f>D16*E16/1000000</x:f>
        <x:v>10249.01298666</x:v>
      </x:c>
      <x:c r="G16" s="142" t="n">
        <x:v>114.057</x:v>
      </x:c>
      <x:c r="H16" s="142" t="n">
        <x:v>486.5</x:v>
      </x:c>
      <x:c r="I16" s="142" t="n">
        <x:v>0</x:v>
      </x:c>
      <x:c r="J16" s="142" t="n">
        <x:v>346.807836</x:v>
      </x:c>
      <x:c r="K16" s="139" t="n">
        <x:f>(F16+G16-H16-I16)/J16</x:f>
        <x:v>28.478508734329754</x:v>
      </x:c>
      <x:c r="L16" s="139" t="n">
        <x:v>6.32</x:v>
      </x:c>
      <x:c r="M16" s="167" t="n">
        <x:f>L16/K16</x:f>
        <x:v>0.22192173259344447</x:v>
      </x:c>
      <x:c r="N16" s="168" t="str">
        <x:v>Invalid until conversion modeled</x:v>
      </x:c>
    </x:row>
  </x:sheetData>
  <x:mergeCells>
    <x:mergeCell ref="A1:N2"/>
    <x:mergeCell ref="A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38" hidden="0" customWidth="1"/>
  </x:cols>
  <x:sheetData>
    <x:row r="1" ht="28" customHeight="1">
      <x:c r="A1" s="381" t="str">
        <x:v>Stage 4 Scenario Outputs — Rebuilt Model</x:v>
      </x:c>
      <x:c r="B1" s="381"/>
      <x:c r="C1" s="381"/>
      <x:c r="D1" s="381"/>
      <x:c r="E1" s="381"/>
      <x:c r="F1" s="381"/>
      <x:c r="G1" s="381"/>
      <x:c r="H1" s="381"/>
      <x:c r="I1" s="381"/>
      <x:c r="J1" s="381"/>
      <x:c r="K1" s="381"/>
      <x:c r="L1" s="381"/>
      <x:c r="M1" s="381"/>
    </x:row>
    <x:row r="2" ht="28" customHeight="1">
      <x:c r="A2" s="381"/>
      <x:c r="B2" s="381"/>
      <x:c r="C2" s="381"/>
      <x:c r="D2" s="381"/>
      <x:c r="E2" s="381"/>
      <x:c r="F2" s="381"/>
      <x:c r="G2" s="381"/>
      <x:c r="H2" s="381"/>
      <x:c r="I2" s="381"/>
      <x:c r="J2" s="381"/>
      <x:c r="K2" s="381"/>
      <x:c r="L2" s="381"/>
      <x:c r="M2" s="381"/>
    </x:row>
    <x:row r="3" ht="30" hidden="0" customHeight="1">
      <x:c r="A3" s="326" t="str">
        <x:v>Targets and returns now link to the company-specific Stage 4 model. They remain assumption-driven estimates for Stage 5 interpretation; prior uploaded ranges and subjective probabilities were removed.</x:v>
      </x:c>
      <x:c r="B3" s="326"/>
      <x:c r="C3" s="326"/>
      <x:c r="D3" s="326"/>
      <x:c r="E3" s="326"/>
      <x:c r="F3" s="326"/>
      <x:c r="G3" s="326"/>
      <x:c r="H3" s="326"/>
      <x:c r="I3" s="326"/>
      <x:c r="J3" s="326"/>
      <x:c r="K3" s="326"/>
      <x:c r="L3" s="326"/>
      <x:c r="M3" s="326"/>
    </x:row>
    <x:row r="4" ht="34" hidden="0" customHeight="1">
      <x:c r="A4" s="333" t="str">
        <x:v>Company</x:v>
      </x:c>
      <x:c r="B4" s="334" t="str">
        <x:v>Ticker</x:v>
      </x:c>
      <x:c r="C4" s="334" t="str">
        <x:v>Scenario</x:v>
      </x:c>
      <x:c r="D4" s="334" t="str">
        <x:v>Current price USD</x:v>
      </x:c>
      <x:c r="E4" s="334" t="str">
        <x:v>Target price USD</x:v>
      </x:c>
      <x:c r="F4" s="334" t="str">
        <x:v>Stock return</x:v>
      </x:c>
      <x:c r="G4" s="334" t="str">
        <x:v>BTC return</x:v>
      </x:c>
      <x:c r="H4" s="334" t="str">
        <x:v>Excess return</x:v>
      </x:c>
      <x:c r="I4" s="334" t="str">
        <x:v>Ending shares M</x:v>
      </x:c>
      <x:c r="J4" s="334" t="str">
        <x:v>Ending BTC</x:v>
      </x:c>
      <x:c r="K4" s="334" t="str">
        <x:v>Ending sats/share</x:v>
      </x:c>
      <x:c r="L4" s="334" t="str">
        <x:v>Validity</x:v>
      </x:c>
      <x:c r="M4" s="335" t="str">
        <x:v>Primary sensitivity</x:v>
      </x:c>
    </x:row>
    <x:row r="5" ht="15" hidden="0" customHeight="1">
      <x:c r="A5" s="382" t="str">
        <x:f>'Stage 4 Model'!A5</x:f>
        <x:v>Strategy</x:v>
      </x:c>
      <x:c r="B5" s="382" t="str">
        <x:f>'Stage 4 Model'!B5</x:f>
        <x:v>MSTR</x:v>
      </x:c>
      <x:c r="C5" s="382" t="str">
        <x:f>'Stage 4 Model'!D5</x:f>
        <x:v>BTC +50%</x:v>
      </x:c>
      <x:c r="D5" s="383" t="n">
        <x:f>'Stage 4 Model'!E5</x:f>
        <x:v>126.83</x:v>
      </x:c>
      <x:c r="E5" s="383" t="n">
        <x:f>'Stage 4 Model'!W5</x:f>
        <x:v>209.71769141603264</x:v>
      </x:c>
      <x:c r="F5" s="384" t="n">
        <x:f>'Stage 4 Model'!X5</x:f>
        <x:v>0.6535337965468158</x:v>
      </x:c>
      <x:c r="G5" s="384" t="n">
        <x:f>'Stage 4 Model'!G5</x:f>
        <x:v>0.5</x:v>
      </x:c>
      <x:c r="H5" s="384" t="n">
        <x:f>'Stage 4 Model'!Y5</x:f>
        <x:v>0.15353379654681576</x:v>
      </x:c>
      <x:c r="I5" s="385" t="n">
        <x:f>'Stage 4 Model'!L5</x:f>
        <x:v>499.0260800000001</x:v>
      </x:c>
      <x:c r="J5" s="386" t="n">
        <x:f>'Stage 4 Model'!M5</x:f>
        <x:v>936279.6737805936</x:v>
      </x:c>
      <x:c r="K5" s="387" t="n">
        <x:f>'Stage 4 Model'!N5</x:f>
        <x:v>187621.39120676686</x:v>
      </x:c>
      <x:c r="L5" s="388" t="str">
        <x:f>'Stage 4 Model'!AA5</x:f>
        <x:v>Rebuilt</x:v>
      </x:c>
      <x:c r="M5" s="382" t="str">
        <x:f>'Stage 4 Model'!AB5</x:f>
        <x:v>Issuance price and fixed charges</x:v>
      </x:c>
    </x:row>
    <x:row r="6" ht="15" hidden="0" customHeight="1">
      <x:c r="A6" s="389" t="str">
        <x:f>'Stage 4 Model'!A6</x:f>
        <x:v>Strategy</x:v>
      </x:c>
      <x:c r="B6" s="389" t="str">
        <x:f>'Stage 4 Model'!B6</x:f>
        <x:v>MSTR</x:v>
      </x:c>
      <x:c r="C6" s="389" t="str">
        <x:f>'Stage 4 Model'!D6</x:f>
        <x:v>BTC +100%</x:v>
      </x:c>
      <x:c r="D6" s="390" t="n">
        <x:f>'Stage 4 Model'!E6</x:f>
        <x:v>126.83</x:v>
      </x:c>
      <x:c r="E6" s="390" t="n">
        <x:f>'Stage 4 Model'!W6</x:f>
        <x:v>289.6512396178442</x:v>
      </x:c>
      <x:c r="F6" s="391" t="n">
        <x:f>'Stage 4 Model'!X6</x:f>
        <x:v>1.2837754444362077</x:v>
      </x:c>
      <x:c r="G6" s="391" t="n">
        <x:f>'Stage 4 Model'!G6</x:f>
        <x:v>1</x:v>
      </x:c>
      <x:c r="H6" s="391" t="n">
        <x:f>'Stage 4 Model'!Y6</x:f>
        <x:v>0.2837754444362077</x:v>
      </x:c>
      <x:c r="I6" s="392" t="n">
        <x:f>'Stage 4 Model'!L6</x:f>
        <x:v>525.75962</x:v>
      </x:c>
      <x:c r="J6" s="393" t="n">
        <x:f>'Stage 4 Model'!M6</x:f>
        <x:v>981271.5303387665</x:v>
      </x:c>
      <x:c r="K6" s="394" t="n">
        <x:f>'Stage 4 Model'!N6</x:f>
        <x:v>186638.81610740026</x:v>
      </x:c>
      <x:c r="L6" s="395" t="str">
        <x:f>'Stage 4 Model'!AA6</x:f>
        <x:v>Rebuilt</x:v>
      </x:c>
      <x:c r="M6" s="389" t="str">
        <x:f>'Stage 4 Model'!AB6</x:f>
        <x:v>Issuance price and fixed charges</x:v>
      </x:c>
    </x:row>
    <x:row r="7" ht="15" hidden="0" customHeight="1">
      <x:c r="A7" s="389" t="str">
        <x:f>'Stage 4 Model'!A7</x:f>
        <x:v>Strategy</x:v>
      </x:c>
      <x:c r="B7" s="389" t="str">
        <x:f>'Stage 4 Model'!B7</x:f>
        <x:v>MSTR</x:v>
      </x:c>
      <x:c r="C7" s="389" t="str">
        <x:f>'Stage 4 Model'!D7</x:f>
        <x:v>BTC +200%</x:v>
      </x:c>
      <x:c r="D7" s="390" t="n">
        <x:f>'Stage 4 Model'!E7</x:f>
        <x:v>126.83</x:v>
      </x:c>
      <x:c r="E7" s="390" t="n">
        <x:f>'Stage 4 Model'!W7</x:f>
        <x:v>440.69054152955977</x:v>
      </x:c>
      <x:c r="F7" s="391" t="n">
        <x:f>'Stage 4 Model'!X7</x:f>
        <x:v>2.4746553775097357</x:v>
      </x:c>
      <x:c r="G7" s="391" t="n">
        <x:f>'Stage 4 Model'!G7</x:f>
        <x:v>2</x:v>
      </x:c>
      <x:c r="H7" s="391" t="n">
        <x:f>'Stage 4 Model'!Y7</x:f>
        <x:v>0.47465537750973574</x:v>
      </x:c>
      <x:c r="I7" s="392" t="n">
        <x:f>'Stage 4 Model'!L7</x:f>
        <x:v>570.31552</x:v>
      </x:c>
      <x:c r="J7" s="393" t="n">
        <x:f>'Stage 4 Model'!M7</x:f>
        <x:v>1035992.0435374639</x:v>
      </x:c>
      <x:c r="K7" s="394" t="n">
        <x:f>'Stage 4 Model'!N7</x:f>
        <x:v>181652.43750292188</x:v>
      </x:c>
      <x:c r="L7" s="395" t="str">
        <x:f>'Stage 4 Model'!AA7</x:f>
        <x:v>Rebuilt</x:v>
      </x:c>
      <x:c r="M7" s="389" t="str">
        <x:f>'Stage 4 Model'!AB7</x:f>
        <x:v>Issuance price and fixed charges</x:v>
      </x:c>
    </x:row>
    <x:row r="8" ht="15" hidden="0" customHeight="1">
      <x:c r="A8" s="389" t="str">
        <x:f>'Stage 4 Model'!A8</x:f>
        <x:v>Metaplanet</x:v>
      </x:c>
      <x:c r="B8" s="389" t="str">
        <x:f>'Stage 4 Model'!B8</x:f>
        <x:v>3350.T</x:v>
      </x:c>
      <x:c r="C8" s="389" t="str">
        <x:f>'Stage 4 Model'!D8</x:f>
        <x:v>BTC +50%</x:v>
      </x:c>
      <x:c r="D8" s="390" t="n">
        <x:f>'Stage 4 Model'!E8</x:f>
        <x:v>2.072603944228112</x:v>
      </x:c>
      <x:c r="E8" s="390" t="n">
        <x:f>'Stage 4 Model'!W8</x:f>
        <x:v>3.4032115463628108</x:v>
      </x:c>
      <x:c r="F8" s="391" t="n">
        <x:f>'Stage 4 Model'!X8</x:f>
        <x:v>0.6419980073087477</x:v>
      </x:c>
      <x:c r="G8" s="391" t="n">
        <x:f>'Stage 4 Model'!G8</x:f>
        <x:v>0.5</x:v>
      </x:c>
      <x:c r="H8" s="391" t="n">
        <x:f>'Stage 4 Model'!Y8</x:f>
        <x:v>0.14199800730874768</x:v>
      </x:c>
      <x:c r="I8" s="392" t="n">
        <x:f>'Stage 4 Model'!L8</x:f>
        <x:v>1957.85304</x:v>
      </x:c>
      <x:c r="J8" s="393" t="n">
        <x:f>'Stage 4 Model'!M8</x:f>
        <x:v>51440.127258573724</x:v>
      </x:c>
      <x:c r="K8" s="394" t="n">
        <x:f>'Stage 4 Model'!N8</x:f>
        <x:v>2627.374282319664</x:v>
      </x:c>
      <x:c r="L8" s="395" t="str">
        <x:f>'Stage 4 Model'!AA8</x:f>
        <x:v>Rebuilt</x:v>
      </x:c>
      <x:c r="M8" s="389" t="str">
        <x:f>'Stage 4 Model'!AB8</x:f>
        <x:v>Cash gap and equity issuance</x:v>
      </x:c>
    </x:row>
    <x:row r="9" ht="15" hidden="0" customHeight="1">
      <x:c r="A9" s="389" t="str">
        <x:f>'Stage 4 Model'!A9</x:f>
        <x:v>Metaplanet</x:v>
      </x:c>
      <x:c r="B9" s="389" t="str">
        <x:f>'Stage 4 Model'!B9</x:f>
        <x:v>3350.T</x:v>
      </x:c>
      <x:c r="C9" s="389" t="str">
        <x:f>'Stage 4 Model'!D9</x:f>
        <x:v>BTC +100%</x:v>
      </x:c>
      <x:c r="D9" s="390" t="n">
        <x:f>'Stage 4 Model'!E9</x:f>
        <x:v>2.072603944228112</x:v>
      </x:c>
      <x:c r="E9" s="390" t="n">
        <x:f>'Stage 4 Model'!W9</x:f>
        <x:v>4.661641522711238</x:v>
      </x:c>
      <x:c r="F9" s="391" t="n">
        <x:f>'Stage 4 Model'!X9</x:f>
        <x:v>1.24917140377601</x:v>
      </x:c>
      <x:c r="G9" s="391" t="n">
        <x:f>'Stage 4 Model'!G9</x:f>
        <x:v>1</x:v>
      </x:c>
      <x:c r="H9" s="391" t="n">
        <x:f>'Stage 4 Model'!Y9</x:f>
        <x:v>0.24917140377601</x:v>
      </x:c>
      <x:c r="I9" s="392" t="n">
        <x:f>'Stage 4 Model'!L9</x:f>
        <x:v>2202.58467</x:v>
      </x:c>
      <x:c r="J9" s="393" t="n">
        <x:f>'Stage 4 Model'!M9</x:f>
        <x:v>57732.502620779</x:v>
      </x:c>
      <x:c r="K9" s="394" t="n">
        <x:f>'Stage 4 Model'!N9</x:f>
        <x:v>2621.1252355978218</x:v>
      </x:c>
      <x:c r="L9" s="395" t="str">
        <x:f>'Stage 4 Model'!AA9</x:f>
        <x:v>Rebuilt</x:v>
      </x:c>
      <x:c r="M9" s="389" t="str">
        <x:f>'Stage 4 Model'!AB9</x:f>
        <x:v>Cash gap and equity issuance</x:v>
      </x:c>
    </x:row>
    <x:row r="10" ht="15" hidden="0" customHeight="1">
      <x:c r="A10" s="389" t="str">
        <x:f>'Stage 4 Model'!A10</x:f>
        <x:v>Metaplanet</x:v>
      </x:c>
      <x:c r="B10" s="389" t="str">
        <x:f>'Stage 4 Model'!B10</x:f>
        <x:v>3350.T</x:v>
      </x:c>
      <x:c r="C10" s="389" t="str">
        <x:f>'Stage 4 Model'!D10</x:f>
        <x:v>BTC +200%</x:v>
      </x:c>
      <x:c r="D10" s="390" t="n">
        <x:f>'Stage 4 Model'!E10</x:f>
        <x:v>2.072603944228112</x:v>
      </x:c>
      <x:c r="E10" s="390" t="n">
        <x:f>'Stage 4 Model'!W10</x:f>
        <x:v>6.971333176424162</x:v>
      </x:c>
      <x:c r="F10" s="391" t="n">
        <x:f>'Stage 4 Model'!X10</x:f>
        <x:v>2.363562631364409</x:v>
      </x:c>
      <x:c r="G10" s="391" t="n">
        <x:f>'Stage 4 Model'!G10</x:f>
        <x:v>2</x:v>
      </x:c>
      <x:c r="H10" s="391" t="n">
        <x:f>'Stage 4 Model'!Y10</x:f>
        <x:v>0.36356263136440914</x:v>
      </x:c>
      <x:c r="I10" s="392" t="n">
        <x:f>'Stage 4 Model'!L10</x:f>
        <x:v>2528.8935100000003</x:v>
      </x:c>
      <x:c r="J10" s="393" t="n">
        <x:f>'Stage 4 Model'!M10</x:f>
        <x:v>64295.018611953696</x:v>
      </x:c>
      <x:c r="K10" s="394" t="n">
        <x:f>'Stage 4 Model'!N10</x:f>
        <x:v>2542.4170040261474</x:v>
      </x:c>
      <x:c r="L10" s="395" t="str">
        <x:f>'Stage 4 Model'!AA10</x:f>
        <x:v>Rebuilt</x:v>
      </x:c>
      <x:c r="M10" s="389" t="str">
        <x:f>'Stage 4 Model'!AB10</x:f>
        <x:v>Cash gap and equity issuance</x:v>
      </x:c>
    </x:row>
    <x:row r="11" ht="15" hidden="0" customHeight="1">
      <x:c r="A11" s="389" t="str">
        <x:f>'Stage 4 Model'!A11</x:f>
        <x:v>Twenty One Capital</x:v>
      </x:c>
      <x:c r="B11" s="389" t="str">
        <x:f>'Stage 4 Model'!B11</x:f>
        <x:v>XXI</x:v>
      </x:c>
      <x:c r="C11" s="389" t="str">
        <x:f>'Stage 4 Model'!D11</x:f>
        <x:v>BTC +50%</x:v>
      </x:c>
      <x:c r="D11" s="390" t="n">
        <x:f>'Stage 4 Model'!E11</x:f>
        <x:v>6.51</x:v>
      </x:c>
      <x:c r="E11" s="390" t="n">
        <x:f>'Stage 4 Model'!W11</x:f>
        <x:v>9.469221241200302</x:v>
      </x:c>
      <x:c r="F11" s="391" t="n">
        <x:f>'Stage 4 Model'!X11</x:f>
        <x:v>0.454565474838756</x:v>
      </x:c>
      <x:c r="G11" s="391" t="n">
        <x:f>'Stage 4 Model'!G11</x:f>
        <x:v>0.5</x:v>
      </x:c>
      <x:c r="H11" s="391" t="n">
        <x:f>'Stage 4 Model'!Y11</x:f>
        <x:v>-0.04543452516124402</x:v>
      </x:c>
      <x:c r="I11" s="392" t="n">
        <x:f>'Stage 4 Model'!L11</x:f>
        <x:v>372.22729848</x:v>
      </x:c>
      <x:c r="J11" s="393" t="n">
        <x:f>'Stage 4 Model'!M11</x:f>
        <x:v>43514</x:v>
      </x:c>
      <x:c r="K11" s="394" t="n">
        <x:f>'Stage 4 Model'!N11</x:f>
        <x:v>11690.168931104883</x:v>
      </x:c>
      <x:c r="L11" s="395" t="str">
        <x:f>'Stage 4 Model'!AA11</x:f>
        <x:v>Rebuilt</x:v>
      </x:c>
      <x:c r="M11" s="389" t="str">
        <x:f>'Stage 4 Model'!AB11</x:f>
        <x:v>Conversion threshold and unquantified RSUs</x:v>
      </x:c>
    </x:row>
    <x:row r="12" ht="15" hidden="0" customHeight="1">
      <x:c r="A12" s="389" t="str">
        <x:f>'Stage 4 Model'!A12</x:f>
        <x:v>Twenty One Capital</x:v>
      </x:c>
      <x:c r="B12" s="389" t="str">
        <x:f>'Stage 4 Model'!B12</x:f>
        <x:v>XXI</x:v>
      </x:c>
      <x:c r="C12" s="389" t="str">
        <x:f>'Stage 4 Model'!D12</x:f>
        <x:v>BTC +100%</x:v>
      </x:c>
      <x:c r="D12" s="390" t="n">
        <x:f>'Stage 4 Model'!E12</x:f>
        <x:v>6.51</x:v>
      </x:c>
      <x:c r="E12" s="390" t="n">
        <x:f>'Stage 4 Model'!W12</x:f>
        <x:v>12.625453524186637</x:v>
      </x:c>
      <x:c r="F12" s="391" t="n">
        <x:f>'Stage 4 Model'!X12</x:f>
        <x:v>0.9393937825171488</x:v>
      </x:c>
      <x:c r="G12" s="391" t="n">
        <x:f>'Stage 4 Model'!G12</x:f>
        <x:v>1</x:v>
      </x:c>
      <x:c r="H12" s="391" t="n">
        <x:f>'Stage 4 Model'!Y12</x:f>
        <x:v>-0.06060621748285122</x:v>
      </x:c>
      <x:c r="I12" s="392" t="n">
        <x:f>'Stage 4 Model'!L12</x:f>
        <x:v>379.52587296</x:v>
      </x:c>
      <x:c r="J12" s="393" t="n">
        <x:f>'Stage 4 Model'!M12</x:f>
        <x:v>43514</x:v>
      </x:c>
      <x:c r="K12" s="394" t="n">
        <x:f>'Stage 4 Model'!N12</x:f>
        <x:v>11465.357990122096</x:v>
      </x:c>
      <x:c r="L12" s="395" t="str">
        <x:f>'Stage 4 Model'!AA12</x:f>
        <x:v>Rebuilt</x:v>
      </x:c>
      <x:c r="M12" s="389" t="str">
        <x:f>'Stage 4 Model'!AB12</x:f>
        <x:v>Conversion threshold and unquantified RSUs</x:v>
      </x:c>
    </x:row>
    <x:row r="13" ht="15" hidden="0" customHeight="1">
      <x:c r="A13" s="389" t="str">
        <x:f>'Stage 4 Model'!A13</x:f>
        <x:v>Twenty One Capital</x:v>
      </x:c>
      <x:c r="B13" s="389" t="str">
        <x:f>'Stage 4 Model'!B13</x:f>
        <x:v>XXI</x:v>
      </x:c>
      <x:c r="C13" s="389" t="str">
        <x:f>'Stage 4 Model'!D13</x:f>
        <x:v>BTC +200%</x:v>
      </x:c>
      <x:c r="D13" s="390" t="n">
        <x:f>'Stage 4 Model'!E13</x:f>
        <x:v>6.51</x:v>
      </x:c>
      <x:c r="E13" s="390" t="n">
        <x:f>'Stage 4 Model'!W13</x:f>
        <x:v>17.963444180187686</x:v>
      </x:c>
      <x:c r="F13" s="391" t="n">
        <x:f>'Stage 4 Model'!X13</x:f>
        <x:v>1.7593616252208428</x:v>
      </x:c>
      <x:c r="G13" s="391" t="n">
        <x:f>'Stage 4 Model'!G13</x:f>
        <x:v>2</x:v>
      </x:c>
      <x:c r="H13" s="391" t="n">
        <x:f>'Stage 4 Model'!Y13</x:f>
        <x:v>-0.24063837477915717</x:v>
      </x:c>
      <x:c r="I13" s="392" t="n">
        <x:f>'Stage 4 Model'!L13</x:f>
        <x:v>427.89681168</x:v>
      </x:c>
      <x:c r="J13" s="393" t="n">
        <x:f>'Stage 4 Model'!M13</x:f>
        <x:v>43514</x:v>
      </x:c>
      <x:c r="K13" s="394" t="n">
        <x:f>'Stage 4 Model'!N13</x:f>
        <x:v>10169.274182987294</x:v>
      </x:c>
      <x:c r="L13" s="395" t="str">
        <x:f>'Stage 4 Model'!AA13</x:f>
        <x:v>Rebuilt</x:v>
      </x:c>
      <x:c r="M13" s="389" t="str">
        <x:f>'Stage 4 Model'!AB13</x:f>
        <x:v>Conversion threshold and unquantified RSUs</x:v>
      </x:c>
    </x:row>
    <x:row r="14" ht="15" hidden="0" customHeight="1">
      <x:c r="A14" s="389" t="str">
        <x:f>'Stage 4 Model'!A14</x:f>
        <x:v>American Bitcoin</x:v>
      </x:c>
      <x:c r="B14" s="389" t="str">
        <x:f>'Stage 4 Model'!B14</x:f>
        <x:v>ABTC</x:v>
      </x:c>
      <x:c r="C14" s="389" t="str">
        <x:f>'Stage 4 Model'!D14</x:f>
        <x:v>BTC +50%</x:v>
      </x:c>
      <x:c r="D14" s="390" t="n">
        <x:f>'Stage 4 Model'!E14</x:f>
        <x:v>9.24</x:v>
      </x:c>
      <x:c r="E14" s="390" t="n">
        <x:f>'Stage 4 Model'!W14</x:f>
        <x:v>24.090810715987963</x:v>
      </x:c>
      <x:c r="F14" s="391" t="n">
        <x:f>'Stage 4 Model'!X14</x:f>
        <x:v>1.6072305969683942</x:v>
      </x:c>
      <x:c r="G14" s="391" t="n">
        <x:f>'Stage 4 Model'!G14</x:f>
        <x:v>0.5</x:v>
      </x:c>
      <x:c r="H14" s="391" t="n">
        <x:f>'Stage 4 Model'!Y14</x:f>
        <x:v>1.1072305969683942</x:v>
      </x:c>
      <x:c r="I14" s="392" t="n">
        <x:f>'Stage 4 Model'!L14</x:f>
        <x:v>104.5873866996291</x:v>
      </x:c>
      <x:c r="J14" s="393" t="n">
        <x:f>'Stage 4 Model'!M14</x:f>
        <x:v>14123.503579164408</x:v>
      </x:c>
      <x:c r="K14" s="394" t="n">
        <x:f>'Stage 4 Model'!N14</x:f>
        <x:v>13504.021875722507</x:v>
      </x:c>
      <x:c r="L14" s="395" t="str">
        <x:f>'Stage 4 Model'!AA14</x:f>
        <x:v>Rebuilt</x:v>
      </x:c>
      <x:c r="M14" s="389" t="str">
        <x:f>'Stage 4 Model'!AB14</x:f>
        <x:v>ATM utilization, production and cost</x:v>
      </x:c>
    </x:row>
    <x:row r="15" ht="15" hidden="0" customHeight="1">
      <x:c r="A15" s="389" t="str">
        <x:f>'Stage 4 Model'!A15</x:f>
        <x:v>American Bitcoin</x:v>
      </x:c>
      <x:c r="B15" s="389" t="str">
        <x:f>'Stage 4 Model'!B15</x:f>
        <x:v>ABTC</x:v>
      </x:c>
      <x:c r="C15" s="389" t="str">
        <x:f>'Stage 4 Model'!D15</x:f>
        <x:v>BTC +100%</x:v>
      </x:c>
      <x:c r="D15" s="390" t="n">
        <x:f>'Stage 4 Model'!E15</x:f>
        <x:v>9.24</x:v>
      </x:c>
      <x:c r="E15" s="390" t="n">
        <x:f>'Stage 4 Model'!W15</x:f>
        <x:v>32.020964006223124</x:v>
      </x:c>
      <x:c r="F15" s="391" t="n">
        <x:f>'Stage 4 Model'!X15</x:f>
        <x:v>2.465472295045793</x:v>
      </x:c>
      <x:c r="G15" s="391" t="n">
        <x:f>'Stage 4 Model'!G15</x:f>
        <x:v>1</x:v>
      </x:c>
      <x:c r="H15" s="391" t="n">
        <x:f>'Stage 4 Model'!Y15</x:f>
        <x:v>1.4654722950457928</x:v>
      </x:c>
      <x:c r="I15" s="392" t="n">
        <x:f>'Stage 4 Model'!L15</x:f>
        <x:v>120.93962886979891</x:v>
      </x:c>
      <x:c r="J15" s="393" t="n">
        <x:f>'Stage 4 Model'!M15</x:f>
        <x:v>14841.174579025192</x:v>
      </x:c>
      <x:c r="K15" s="394" t="n">
        <x:f>'Stage 4 Model'!N15</x:f>
        <x:v>12271.556244812768</x:v>
      </x:c>
      <x:c r="L15" s="395" t="str">
        <x:f>'Stage 4 Model'!AA15</x:f>
        <x:v>Rebuilt</x:v>
      </x:c>
      <x:c r="M15" s="389" t="str">
        <x:f>'Stage 4 Model'!AB15</x:f>
        <x:v>ATM utilization, production and cost</x:v>
      </x:c>
    </x:row>
    <x:row r="16" ht="15" hidden="0" customHeight="1">
      <x:c r="A16" s="389" t="str">
        <x:f>'Stage 4 Model'!A16</x:f>
        <x:v>American Bitcoin</x:v>
      </x:c>
      <x:c r="B16" s="389" t="str">
        <x:f>'Stage 4 Model'!B16</x:f>
        <x:v>ABTC</x:v>
      </x:c>
      <x:c r="C16" s="389" t="str">
        <x:f>'Stage 4 Model'!D16</x:f>
        <x:v>BTC +200%</x:v>
      </x:c>
      <x:c r="D16" s="390" t="n">
        <x:f>'Stage 4 Model'!E16</x:f>
        <x:v>9.24</x:v>
      </x:c>
      <x:c r="E16" s="390" t="n">
        <x:f>'Stage 4 Model'!W16</x:f>
        <x:v>48.195210816390436</x:v>
      </x:c>
      <x:c r="F16" s="391" t="n">
        <x:f>'Stage 4 Model'!X16</x:f>
        <x:v>4.215931906535761</x:v>
      </x:c>
      <x:c r="G16" s="391" t="n">
        <x:f>'Stage 4 Model'!G16</x:f>
        <x:v>2</x:v>
      </x:c>
      <x:c r="H16" s="391" t="n">
        <x:f>'Stage 4 Model'!Y16</x:f>
        <x:v>2.2159319065357614</x:v>
      </x:c>
      <x:c r="I16" s="392" t="n">
        <x:f>'Stage 4 Model'!L16</x:f>
        <x:v>130.03993699753084</x:v>
      </x:c>
      <x:c r="J16" s="393" t="n">
        <x:f>'Stage 4 Model'!M16</x:f>
        <x:v>14886.239818634862</x:v>
      </x:c>
      <x:c r="K16" s="394" t="n">
        <x:f>'Stage 4 Model'!N16</x:f>
        <x:v>11447.436966166415</x:v>
      </x:c>
      <x:c r="L16" s="395" t="str">
        <x:f>'Stage 4 Model'!AA16</x:f>
        <x:v>Rebuilt</x:v>
      </x:c>
      <x:c r="M16" s="389" t="str">
        <x:f>'Stage 4 Model'!AB16</x:f>
        <x:v>ATM utilization, production and cost</x:v>
      </x:c>
    </x:row>
    <x:row r="17" ht="15" hidden="0" customHeight="1">
      <x:c r="A17" s="389" t="str">
        <x:f>'Stage 4 Model'!A17</x:f>
        <x:v>CleanSpark</x:v>
      </x:c>
      <x:c r="B17" s="389" t="str">
        <x:f>'Stage 4 Model'!B17</x:f>
        <x:v>CLSK</x:v>
      </x:c>
      <x:c r="C17" s="389" t="str">
        <x:f>'Stage 4 Model'!D17</x:f>
        <x:v>BTC +50%</x:v>
      </x:c>
      <x:c r="D17" s="390" t="n">
        <x:f>'Stage 4 Model'!E17</x:f>
        <x:v>12.71</x:v>
      </x:c>
      <x:c r="E17" s="390" t="n">
        <x:f>'Stage 4 Model'!W17</x:f>
        <x:v>12.087688236784592</x:v>
      </x:c>
      <x:c r="F17" s="391" t="n">
        <x:f>'Stage 4 Model'!X17</x:f>
        <x:v>-0.04896237318767971</x:v>
      </x:c>
      <x:c r="G17" s="391" t="n">
        <x:f>'Stage 4 Model'!G17</x:f>
        <x:v>0.5</x:v>
      </x:c>
      <x:c r="H17" s="391" t="n">
        <x:f>'Stage 4 Model'!Y17</x:f>
        <x:v>-0.5489623731876797</x:v>
      </x:c>
      <x:c r="I17" s="392" t="n">
        <x:f>'Stage 4 Model'!L17</x:f>
        <x:v>335.17264935</x:v>
      </x:c>
      <x:c r="J17" s="393" t="n">
        <x:f>'Stage 4 Model'!M17</x:f>
        <x:v>19306.573333333334</x:v>
      </x:c>
      <x:c r="K17" s="394" t="n">
        <x:f>'Stage 4 Model'!N17</x:f>
        <x:v>5760.187584152392</x:v>
      </x:c>
      <x:c r="L17" s="395" t="str">
        <x:f>'Stage 4 Model'!AA17</x:f>
        <x:v>Rebuilt</x:v>
      </x:c>
      <x:c r="M17" s="389" t="str">
        <x:f>'Stage 4 Model'!AB17</x:f>
        <x:v>HPC probability, capex and cost</x:v>
      </x:c>
    </x:row>
    <x:row r="18" ht="15" hidden="0" customHeight="1">
      <x:c r="A18" s="389" t="str">
        <x:f>'Stage 4 Model'!A18</x:f>
        <x:v>CleanSpark</x:v>
      </x:c>
      <x:c r="B18" s="389" t="str">
        <x:f>'Stage 4 Model'!B18</x:f>
        <x:v>CLSK</x:v>
      </x:c>
      <x:c r="C18" s="389" t="str">
        <x:f>'Stage 4 Model'!D18</x:f>
        <x:v>BTC +100%</x:v>
      </x:c>
      <x:c r="D18" s="390" t="n">
        <x:f>'Stage 4 Model'!E18</x:f>
        <x:v>12.71</x:v>
      </x:c>
      <x:c r="E18" s="390" t="n">
        <x:f>'Stage 4 Model'!W18</x:f>
        <x:v>16.887575535118245</x:v>
      </x:c>
      <x:c r="F18" s="391" t="n">
        <x:f>'Stage 4 Model'!X18</x:f>
        <x:v>0.32868414910450383</x:v>
      </x:c>
      <x:c r="G18" s="391" t="n">
        <x:f>'Stage 4 Model'!G18</x:f>
        <x:v>1</x:v>
      </x:c>
      <x:c r="H18" s="391" t="n">
        <x:f>'Stage 4 Model'!Y18</x:f>
        <x:v>-0.6713158508954962</x:v>
      </x:c>
      <x:c r="I18" s="392" t="n">
        <x:f>'Stage 4 Model'!L18</x:f>
        <x:v>344.74901076</x:v>
      </x:c>
      <x:c r="J18" s="393" t="n">
        <x:f>'Stage 4 Model'!M18</x:f>
        <x:v>19212.17551020408</x:v>
      </x:c>
      <x:c r="K18" s="394" t="n">
        <x:f>'Stage 4 Model'!N18</x:f>
        <x:v>5572.800765359933</x:v>
      </x:c>
      <x:c r="L18" s="395" t="str">
        <x:f>'Stage 4 Model'!AA18</x:f>
        <x:v>Rebuilt</x:v>
      </x:c>
      <x:c r="M18" s="389" t="str">
        <x:f>'Stage 4 Model'!AB18</x:f>
        <x:v>HPC probability, capex and cost</x:v>
      </x:c>
    </x:row>
    <x:row r="19" ht="15" hidden="0" customHeight="1">
      <x:c r="A19" s="389" t="str">
        <x:f>'Stage 4 Model'!A19</x:f>
        <x:v>CleanSpark</x:v>
      </x:c>
      <x:c r="B19" s="389" t="str">
        <x:f>'Stage 4 Model'!B19</x:f>
        <x:v>CLSK</x:v>
      </x:c>
      <x:c r="C19" s="389" t="str">
        <x:f>'Stage 4 Model'!D19</x:f>
        <x:v>BTC +200%</x:v>
      </x:c>
      <x:c r="D19" s="390" t="n">
        <x:f>'Stage 4 Model'!E19</x:f>
        <x:v>12.71</x:v>
      </x:c>
      <x:c r="E19" s="390" t="n">
        <x:f>'Stage 4 Model'!W19</x:f>
        <x:v>25.543712200409498</x:v>
      </x:c>
      <x:c r="F19" s="391" t="n">
        <x:f>'Stage 4 Model'!X19</x:f>
        <x:v>1.0097334540054677</x:v>
      </x:c>
      <x:c r="G19" s="391" t="n">
        <x:f>'Stage 4 Model'!G19</x:f>
        <x:v>2</x:v>
      </x:c>
      <x:c r="H19" s="391" t="n">
        <x:f>'Stage 4 Model'!Y19</x:f>
        <x:v>-0.9902665459945323</x:v>
      </x:c>
      <x:c r="I19" s="392" t="n">
        <x:f>'Stage 4 Model'!L19</x:f>
        <x:v>357.51749264</x:v>
      </x:c>
      <x:c r="J19" s="393" t="n">
        <x:f>'Stage 4 Model'!M19</x:f>
        <x:v>18953.857142857145</x:v>
      </x:c>
      <x:c r="K19" s="394" t="n">
        <x:f>'Stage 4 Model'!N19</x:f>
        <x:v>5301.5188160157</x:v>
      </x:c>
      <x:c r="L19" s="395" t="str">
        <x:f>'Stage 4 Model'!AA19</x:f>
        <x:v>Rebuilt</x:v>
      </x:c>
      <x:c r="M19" s="389" t="str">
        <x:f>'Stage 4 Model'!AB19</x:f>
        <x:v>HPC probability, capex and cost</x:v>
      </x:c>
    </x:row>
    <x:row r="20" ht="15" hidden="0" customHeight="1">
      <x:c r="A20" s="389" t="str">
        <x:f>'Stage 4 Model'!A20</x:f>
        <x:v>MARA</x:v>
      </x:c>
      <x:c r="B20" s="389" t="str">
        <x:f>'Stage 4 Model'!B20</x:f>
        <x:v>MARA</x:v>
      </x:c>
      <x:c r="C20" s="389" t="str">
        <x:f>'Stage 4 Model'!D20</x:f>
        <x:v>BTC +50%</x:v>
      </x:c>
      <x:c r="D20" s="390" t="n">
        <x:f>'Stage 4 Model'!E20</x:f>
        <x:v>11.83</x:v>
      </x:c>
      <x:c r="E20" s="390" t="n">
        <x:f>'Stage 4 Model'!W20</x:f>
        <x:v>12.811318466062954</x:v>
      </x:c>
      <x:c r="F20" s="391" t="n">
        <x:f>'Stage 4 Model'!X20</x:f>
        <x:v>0.08295168774834782</x:v>
      </x:c>
      <x:c r="G20" s="391" t="n">
        <x:f>'Stage 4 Model'!G20</x:f>
        <x:v>0.5</x:v>
      </x:c>
      <x:c r="H20" s="391" t="n">
        <x:f>'Stage 4 Model'!Y20</x:f>
        <x:v>-0.4170483122516522</x:v>
      </x:c>
      <x:c r="I20" s="392" t="n">
        <x:f>'Stage 4 Model'!L20</x:f>
        <x:v>503.7666242437801</x:v>
      </x:c>
      <x:c r="J20" s="393" t="n">
        <x:f>'Stage 4 Model'!M20</x:f>
        <x:v>39958.0752159863</x:v>
      </x:c>
      <x:c r="K20" s="394" t="n">
        <x:f>'Stage 4 Model'!N20</x:f>
        <x:v>7931.862353122067</x:v>
      </x:c>
      <x:c r="L20" s="395" t="str">
        <x:f>'Stage 4 Model'!AA20</x:f>
        <x:v>Rebuilt</x:v>
      </x:c>
      <x:c r="M20" s="389" t="str">
        <x:f>'Stage 4 Model'!AB20</x:f>
        <x:v>ATM, BTC sales and infrastructure value</x:v>
      </x:c>
    </x:row>
    <x:row r="21" ht="15" hidden="0" customHeight="1">
      <x:c r="A21" s="389" t="str">
        <x:f>'Stage 4 Model'!A21</x:f>
        <x:v>MARA</x:v>
      </x:c>
      <x:c r="B21" s="389" t="str">
        <x:f>'Stage 4 Model'!B21</x:f>
        <x:v>MARA</x:v>
      </x:c>
      <x:c r="C21" s="389" t="str">
        <x:f>'Stage 4 Model'!D21</x:f>
        <x:v>BTC +100%</x:v>
      </x:c>
      <x:c r="D21" s="390" t="n">
        <x:f>'Stage 4 Model'!E21</x:f>
        <x:v>11.83</x:v>
      </x:c>
      <x:c r="E21" s="390" t="n">
        <x:f>'Stage 4 Model'!W21</x:f>
        <x:v>18.553677081030433</x:v>
      </x:c>
      <x:c r="F21" s="391" t="n">
        <x:f>'Stage 4 Model'!X21</x:f>
        <x:v>0.5683581640769597</x:v>
      </x:c>
      <x:c r="G21" s="391" t="n">
        <x:f>'Stage 4 Model'!G21</x:f>
        <x:v>1</x:v>
      </x:c>
      <x:c r="H21" s="391" t="n">
        <x:f>'Stage 4 Model'!Y21</x:f>
        <x:v>-0.4316418359230403</x:v>
      </x:c>
      <x:c r="I21" s="392" t="n">
        <x:f>'Stage 4 Model'!L21</x:f>
        <x:v>523.8211796550243</x:v>
      </x:c>
      <x:c r="J21" s="393" t="n">
        <x:f>'Stage 4 Model'!M21</x:f>
        <x:v>40250.34738839272</x:v>
      </x:c>
      <x:c r="K21" s="394" t="n">
        <x:f>'Stage 4 Model'!N21</x:f>
        <x:v>7683.986244103496</x:v>
      </x:c>
      <x:c r="L21" s="395" t="str">
        <x:f>'Stage 4 Model'!AA21</x:f>
        <x:v>Rebuilt</x:v>
      </x:c>
      <x:c r="M21" s="389" t="str">
        <x:f>'Stage 4 Model'!AB21</x:f>
        <x:v>ATM, BTC sales and infrastructure value</x:v>
      </x:c>
    </x:row>
    <x:row r="22" ht="15" hidden="0" customHeight="1">
      <x:c r="A22" s="389" t="str">
        <x:f>'Stage 4 Model'!A22</x:f>
        <x:v>MARA</x:v>
      </x:c>
      <x:c r="B22" s="389" t="str">
        <x:f>'Stage 4 Model'!B22</x:f>
        <x:v>MARA</x:v>
      </x:c>
      <x:c r="C22" s="389" t="str">
        <x:f>'Stage 4 Model'!D22</x:f>
        <x:v>BTC +200%</x:v>
      </x:c>
      <x:c r="D22" s="390" t="n">
        <x:f>'Stage 4 Model'!E22</x:f>
        <x:v>11.83</x:v>
      </x:c>
      <x:c r="E22" s="390" t="n">
        <x:f>'Stage 4 Model'!W22</x:f>
        <x:v>28.90477252079268</x:v>
      </x:c>
      <x:c r="F22" s="391" t="n">
        <x:f>'Stage 4 Model'!X22</x:f>
        <x:v>1.4433450989681047</x:v>
      </x:c>
      <x:c r="G22" s="391" t="n">
        <x:f>'Stage 4 Model'!G22</x:f>
        <x:v>2</x:v>
      </x:c>
      <x:c r="H22" s="391" t="n">
        <x:f>'Stage 4 Model'!Y22</x:f>
        <x:v>-0.5566549010318953</x:v>
      </x:c>
      <x:c r="I22" s="392" t="n">
        <x:f>'Stage 4 Model'!L22</x:f>
        <x:v>543.1133689005765</x:v>
      </x:c>
      <x:c r="J22" s="393" t="n">
        <x:f>'Stage 4 Model'!M22</x:f>
        <x:v>40161.89669164526</x:v>
      </x:c>
      <x:c r="K22" s="394" t="n">
        <x:f>'Stage 4 Model'!N22</x:f>
        <x:v>7394.753838032919</x:v>
      </x:c>
      <x:c r="L22" s="395" t="str">
        <x:f>'Stage 4 Model'!AA22</x:f>
        <x:v>Rebuilt</x:v>
      </x:c>
      <x:c r="M22" s="389" t="str">
        <x:f>'Stage 4 Model'!AB22</x:f>
        <x:v>ATM, BTC sales and infrastructure value</x:v>
      </x:c>
    </x:row>
  </x:sheetData>
  <x:mergeCells>
    <x:mergeCell ref="A3:M3"/>
    <x:mergeCell ref="A1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28" hidden="0" customWidth="1"/>
    <x:col min="5" max="5" width="14" hidden="0" customWidth="1"/>
    <x:col min="6" max="6" width="14" hidden="0" customWidth="1"/>
    <x:col min="7" max="7" width="30" hidden="0" customWidth="1"/>
    <x:col min="8" max="8" width="28" hidden="0" customWidth="1"/>
    <x:col min="9" max="9" width="25" hidden="0" customWidth="1"/>
    <x:col min="10" max="10" width="25" hidden="0" customWidth="1"/>
  </x:cols>
  <x:sheetData>
    <x:row r="1" ht="28" customHeight="1">
      <x:c r="A1" s="60" t="str">
        <x:v>Data Required Before Stage 5</x:v>
      </x:c>
      <x:c r="B1" s="60" t="str">
        <x:v>Data Required Before Stage 5</x:v>
      </x:c>
      <x:c r="C1" s="60" t="str">
        <x:v>Data Required Before Stage 5</x:v>
      </x:c>
      <x:c r="D1" s="60" t="str">
        <x:v>Data Required Before Stage 5</x:v>
      </x:c>
      <x:c r="E1" s="60" t="str">
        <x:v>Data Required Before Stage 5</x:v>
      </x:c>
      <x:c r="F1" s="60" t="str">
        <x:v>Data Required Before Stage 5</x:v>
      </x:c>
      <x:c r="G1" s="60" t="str">
        <x:v>Data Required Before Stage 5</x:v>
      </x:c>
      <x:c r="H1" s="60" t="str">
        <x:v>Data Required Before Stage 5</x:v>
      </x:c>
      <x:c r="I1" s="60" t="str">
        <x:v>Data Required Before Stage 5</x:v>
      </x:c>
      <x:c r="J1" s="60" t="str">
        <x:v>Data Required Before Stage 5</x:v>
      </x:c>
    </x:row>
    <x:row r="2" ht="28" customHeight="1">
      <x:c r="A2" s="60" t="str">
        <x:v>Data Required Before Stage 5</x:v>
      </x:c>
      <x:c r="B2" s="60" t="str">
        <x:v>Data Required Before Stage 5</x:v>
      </x:c>
      <x:c r="C2" s="60" t="str">
        <x:v>Data Required Before Stage 5</x:v>
      </x:c>
      <x:c r="D2" s="60" t="str">
        <x:v>Data Required Before Stage 5</x:v>
      </x:c>
      <x:c r="E2" s="60" t="str">
        <x:v>Data Required Before Stage 5</x:v>
      </x:c>
      <x:c r="F2" s="60" t="str">
        <x:v>Data Required Before Stage 5</x:v>
      </x:c>
      <x:c r="G2" s="60" t="str">
        <x:v>Data Required Before Stage 5</x:v>
      </x:c>
      <x:c r="H2" s="60" t="str">
        <x:v>Data Required Before Stage 5</x:v>
      </x:c>
      <x:c r="I2" s="60" t="str">
        <x:v>Data Required Before Stage 5</x:v>
      </x:c>
      <x:c r="J2" s="60" t="str">
        <x:v>Data Required Before Stage 5</x:v>
      </x:c>
    </x:row>
    <x:row r="3" ht="15" hidden="0" customHeight="1">
      <x:c r="A3" s="61" t="str">
        <x:v>Critical gaps can change the ranking or reverse expected outperformance. High gaps materially change confidence or range width.</x:v>
      </x:c>
      <x:c r="B3" s="61" t="str">
        <x:v>Critical gaps can change the ranking or reverse expected outperformance. High gaps materially change confidence or range width.</x:v>
      </x:c>
      <x:c r="C3" s="61" t="str">
        <x:v>Critical gaps can change the ranking or reverse expected outperformance. High gaps materially change confidence or range width.</x:v>
      </x:c>
      <x:c r="D3" s="61" t="str">
        <x:v>Critical gaps can change the ranking or reverse expected outperformance. High gaps materially change confidence or range width.</x:v>
      </x:c>
      <x:c r="E3" s="61" t="str">
        <x:v>Critical gaps can change the ranking or reverse expected outperformance. High gaps materially change confidence or range width.</x:v>
      </x:c>
      <x:c r="F3" s="61" t="str">
        <x:v>Critical gaps can change the ranking or reverse expected outperformance. High gaps materially change confidence or range width.</x:v>
      </x:c>
      <x:c r="G3" s="61" t="str">
        <x:v>Critical gaps can change the ranking or reverse expected outperformance. High gaps materially change confidence or range width.</x:v>
      </x:c>
      <x:c r="H3" s="61" t="str">
        <x:v>Critical gaps can change the ranking or reverse expected outperformance. High gaps materially change confidence or range width.</x:v>
      </x:c>
      <x:c r="I3" s="61" t="str">
        <x:v>Critical gaps can change the ranking or reverse expected outperformance. High gaps materially change confidence or range width.</x:v>
      </x:c>
      <x:c r="J3" s="61" t="str">
        <x:v>Critical gaps can change the ranking or reverse expected outperformance. High gaps materially change confidence or range width.</x:v>
      </x:c>
    </x:row>
    <x:row r="4" ht="26.399999618530273" hidden="0" customHeight="1">
      <x:c r="A4" s="64" t="str">
        <x:v>Gap ID</x:v>
      </x:c>
      <x:c r="B4" s="65" t="str">
        <x:v>Company / scope</x:v>
      </x:c>
      <x:c r="C4" s="65" t="str">
        <x:v>Missing metric</x:v>
      </x:c>
      <x:c r="D4" s="65" t="str">
        <x:v>Why needed</x:v>
      </x:c>
      <x:c r="E4" s="65" t="str">
        <x:v>Severity</x:v>
      </x:c>
      <x:c r="F4" s="65" t="str">
        <x:v>Status</x:v>
      </x:c>
      <x:c r="G4" s="65" t="str">
        <x:v>Exact data requested</x:v>
      </x:c>
      <x:c r="H4" s="65" t="str">
        <x:v>Impact if absent</x:v>
      </x:c>
      <x:c r="I4" s="65" t="str">
        <x:v>Recommended source</x:v>
      </x:c>
      <x:c r="J4" s="66" t="str">
        <x:v>Rule</x:v>
      </x:c>
    </x:row>
    <x:row r="5" ht="15" hidden="0" customHeight="1">
      <x:c r="A5" s="67" t="str">
        <x:v>G01</x:v>
      </x:c>
      <x:c r="B5" s="67" t="str">
        <x:v>All</x:v>
      </x:c>
      <x:c r="C5" s="67" t="str">
        <x:v>Same-date stock prices, BTC and FX</x:v>
      </x:c>
      <x:c r="D5" s="67" t="str">
        <x:v>Eliminates timing/currency mismatch</x:v>
      </x:c>
      <x:c r="E5" s="67" t="str">
        <x:v>Critical</x:v>
      </x:c>
      <x:c r="F5" s="255" t="str">
        <x:v>Complete</x:v>
      </x:c>
      <x:c r="G5" s="67" t="str">
        <x:v>Closing prices and USD/JPY on one date</x:v>
      </x:c>
      <x:c r="H5" s="67" t="str">
        <x:v>Returns and mNAV distorted</x:v>
      </x:c>
      <x:c r="I5" s="67" t="str">
        <x:v>Market closes + FX source</x:v>
      </x:c>
      <x:c r="J5" s="67" t="str">
        <x:v>Freeze one valuation date</x:v>
      </x:c>
    </x:row>
    <x:row r="6" ht="15" hidden="0" customHeight="1">
      <x:c r="A6" s="73" t="str">
        <x:v>G02</x:v>
      </x:c>
      <x:c r="B6" s="73" t="str">
        <x:v>MSTR</x:v>
      </x:c>
      <x:c r="C6" s="73" t="str">
        <x:v>Latest diluted shares and capital stack</x:v>
      </x:c>
      <x:c r="D6" s="73" t="str">
        <x:v>Determines common-equity leverage</x:v>
      </x:c>
      <x:c r="E6" s="73" t="str">
        <x:v>Critical</x:v>
      </x:c>
      <x:c r="F6" s="256" t="str">
        <x:v>Substantially complete</x:v>
      </x:c>
      <x:c r="G6" s="73" t="str">
        <x:v>Shares, debt, preferreds, cash, fixed charges</x:v>
      </x:c>
      <x:c r="H6" s="73" t="str">
        <x:v>mNAV/convexity overstated</x:v>
      </x:c>
      <x:c r="I6" s="73" t="str">
        <x:v>Strategy IR / SEC</x:v>
      </x:c>
      <x:c r="J6" s="73" t="str">
        <x:v>Refresh every run</x:v>
      </x:c>
    </x:row>
    <x:row r="7" ht="15" hidden="0" customHeight="1">
      <x:c r="A7" s="73" t="str">
        <x:v>G03</x:v>
      </x:c>
      <x:c r="B7" s="73" t="str">
        <x:v>Metaplanet</x:v>
      </x:c>
      <x:c r="C7" s="73" t="str">
        <x:v>Cash, debt, preferreds, warrants, diluted shares</x:v>
      </x:c>
      <x:c r="D7" s="73" t="str">
        <x:v>Current model uses implied claims</x:v>
      </x:c>
      <x:c r="E7" s="73" t="str">
        <x:v>Critical</x:v>
      </x:c>
      <x:c r="F7" s="256" t="str">
        <x:v>Partial</x:v>
      </x:c>
      <x:c r="G7" s="73" t="str">
        <x:v>Latest balance sheet and security schedule</x:v>
      </x:c>
      <x:c r="H7" s="73" t="str">
        <x:v>Discount thesis may reverse</x:v>
      </x:c>
      <x:c r="I7" s="73" t="str">
        <x:v>Metaplanet IR + strategy tracker</x:v>
      </x:c>
      <x:c r="J7" s="73" t="str">
        <x:v>Reconcile to equity</x:v>
      </x:c>
    </x:row>
    <x:row r="8" ht="15" hidden="0" customHeight="1">
      <x:c r="A8" s="73" t="str">
        <x:v>G04</x:v>
      </x:c>
      <x:c r="B8" s="73" t="str">
        <x:v>ABTC</x:v>
      </x:c>
      <x:c r="C8" s="73" t="str">
        <x:v>ATM issuance and equipment obligations</x:v>
      </x:c>
      <x:c r="D8" s="73" t="str">
        <x:v>Determines BTC/share</x:v>
      </x:c>
      <x:c r="E8" s="73" t="str">
        <x:v>Critical</x:v>
      </x:c>
      <x:c r="F8" s="256" t="str">
        <x:v>Substantially complete</x:v>
      </x:c>
      <x:c r="G8" s="73" t="str">
        <x:v>ATM usage and security schedule</x:v>
      </x:c>
      <x:c r="H8" s="73" t="str">
        <x:v>Upside may be diluted</x:v>
      </x:c>
      <x:c r="I8" s="73" t="str">
        <x:v>ABTC 10-Q</x:v>
      </x:c>
      <x:c r="J8" s="73" t="str">
        <x:v>Low/base/high dilution</x:v>
      </x:c>
    </x:row>
    <x:row r="9" ht="15" hidden="0" customHeight="1">
      <x:c r="A9" s="73" t="str">
        <x:v>G05</x:v>
      </x:c>
      <x:c r="B9" s="73" t="str">
        <x:v>XXI</x:v>
      </x:c>
      <x:c r="C9" s="73" t="str">
        <x:v>Convert shares, strike, options/RSUs</x:v>
      </x:c>
      <x:c r="D9" s="73" t="str">
        <x:v>Conversion adds shares and removes debt</x:v>
      </x:c>
      <x:c r="E9" s="73" t="str">
        <x:v>Critical</x:v>
      </x:c>
      <x:c r="F9" s="256" t="str">
        <x:v>Substantially complete</x:v>
      </x:c>
      <x:c r="G9" s="73" t="str">
        <x:v>Fully diluted cap table by price</x:v>
      </x:c>
      <x:c r="H9" s="73" t="str">
        <x:v>NAV/share wrong</x:v>
      </x:c>
      <x:c r="I9" s="73" t="str">
        <x:v>XXI 10-Q</x:v>
      </x:c>
      <x:c r="J9" s="73" t="str">
        <x:v>Security-by-security model</x:v>
      </x:c>
    </x:row>
    <x:row r="10" ht="15" hidden="0" customHeight="1">
      <x:c r="A10" s="73" t="str">
        <x:v>G06</x:v>
      </x:c>
      <x:c r="B10" s="73" t="str">
        <x:v>CLSK</x:v>
      </x:c>
      <x:c r="C10" s="73" t="str">
        <x:v>Fully diluted cap table</x:v>
      </x:c>
      <x:c r="D10" s="73" t="str">
        <x:v>Basic shares overstate value/share</x:v>
      </x:c>
      <x:c r="E10" s="73" t="str">
        <x:v>Critical</x:v>
      </x:c>
      <x:c r="F10" s="256" t="str">
        <x:v>Substantially complete</x:v>
      </x:c>
      <x:c r="G10" s="73" t="str">
        <x:v>RSUs, options, warrants, converts</x:v>
      </x:c>
      <x:c r="H10" s="73" t="str">
        <x:v>Excess return unreliable</x:v>
      </x:c>
      <x:c r="I10" s="73" t="str">
        <x:v>CLSK 10-Q</x:v>
      </x:c>
      <x:c r="J10" s="73" t="str">
        <x:v>Price-dependent dilution</x:v>
      </x:c>
    </x:row>
    <x:row r="11" ht="15" hidden="0" customHeight="1">
      <x:c r="A11" s="73" t="str">
        <x:v>G07</x:v>
      </x:c>
      <x:c r="B11" s="73" t="str">
        <x:v>MARA</x:v>
      </x:c>
      <x:c r="C11" s="73" t="str">
        <x:v>Diluted cap table, BTC sales and ATM</x:v>
      </x:c>
      <x:c r="D11" s="73" t="str">
        <x:v>Treasury is declining while expansion is funded</x:v>
      </x:c>
      <x:c r="E11" s="73" t="str">
        <x:v>Critical</x:v>
      </x:c>
      <x:c r="F11" s="256" t="str">
        <x:v>Substantially complete</x:v>
      </x:c>
      <x:c r="G11" s="73" t="str">
        <x:v>Security schedule and allocation plan</x:v>
      </x:c>
      <x:c r="H11" s="73" t="str">
        <x:v>BTC/share overstated</x:v>
      </x:c>
      <x:c r="I11" s="73" t="str">
        <x:v>MARA 10-Q</x:v>
      </x:c>
      <x:c r="J11" s="73" t="str">
        <x:v>BTC/share roll-forward</x:v>
      </x:c>
    </x:row>
    <x:row r="12" ht="15" hidden="0" customHeight="1">
      <x:c r="A12" s="73" t="str">
        <x:v>G08</x:v>
      </x:c>
      <x:c r="B12" s="73" t="str">
        <x:v>All miners</x:v>
      </x:c>
      <x:c r="C12" s="73" t="str">
        <x:v>24-month hashrate, uptime, efficiency, power cost</x:v>
      </x:c>
      <x:c r="D12" s="73" t="str">
        <x:v>Translates BTC/difficulty into margin</x:v>
      </x:c>
      <x:c r="E12" s="73" t="str">
        <x:v>Critical</x:v>
      </x:c>
      <x:c r="F12" s="256" t="str">
        <x:v>Modeled with assumptions</x:v>
      </x:c>
      <x:c r="G12" s="73" t="str">
        <x:v>Quarterly operating plan</x:v>
      </x:c>
      <x:c r="H12" s="73" t="str">
        <x:v>Targets remain narrative</x:v>
      </x:c>
      <x:c r="I12" s="73" t="str">
        <x:v>Miner filings / monthly updates</x:v>
      </x:c>
      <x:c r="J12" s="73" t="str">
        <x:v>Sensitivity-test guidance assumptions</x:v>
      </x:c>
    </x:row>
    <x:row r="13" ht="15" hidden="0" customHeight="1">
      <x:c r="A13" s="73" t="str">
        <x:v>G09</x:v>
      </x:c>
      <x:c r="B13" s="73" t="str">
        <x:v>All miners</x:v>
      </x:c>
      <x:c r="C13" s="73" t="str">
        <x:v>Capex, hosting, credits, maintenance cash</x:v>
      </x:c>
      <x:c r="D13" s="73" t="str">
        <x:v>EBITDA is not equity cash flow</x:v>
      </x:c>
      <x:c r="E13" s="73" t="str">
        <x:v>High</x:v>
      </x:c>
      <x:c r="F13" s="256" t="str">
        <x:v>Substantially complete</x:v>
      </x:c>
      <x:c r="G13" s="73" t="str">
        <x:v>Capex and cash-cost bridge</x:v>
      </x:c>
      <x:c r="H13" s="73" t="str">
        <x:v>FCF misstated</x:v>
      </x:c>
      <x:c r="I13" s="73" t="str">
        <x:v>Cash-flow statements</x:v>
      </x:c>
      <x:c r="J13" s="73" t="str">
        <x:v>Separate EBITDA/FCF</x:v>
      </x:c>
    </x:row>
    <x:row r="14" ht="15" hidden="0" customHeight="1">
      <x:c r="A14" s="73" t="str">
        <x:v>G10</x:v>
      </x:c>
      <x:c r="B14" s="73" t="str">
        <x:v>CLSK/MARA</x:v>
      </x:c>
      <x:c r="C14" s="73" t="str">
        <x:v>HPC economics and funding</x:v>
      </x:c>
      <x:c r="D14" s="73" t="str">
        <x:v>Non-BTC value may dominate</x:v>
      </x:c>
      <x:c r="E14" s="73" t="str">
        <x:v>High</x:v>
      </x:c>
      <x:c r="F14" s="256" t="str">
        <x:v>Modeled with assumptions</x:v>
      </x:c>
      <x:c r="G14" s="73" t="str">
        <x:v>MW, NOI, capex, financing, timing</x:v>
      </x:c>
      <x:c r="H14" s="73" t="str">
        <x:v>Proxy purity misclassified</x:v>
      </x:c>
      <x:c r="I14" s="73" t="str">
        <x:v>Contracts / subsequent events</x:v>
      </x:c>
      <x:c r="J14" s="73" t="str">
        <x:v>Keep HPC separate and probability-weighted</x:v>
      </x:c>
    </x:row>
    <x:row r="15" ht="15" hidden="0" customHeight="1">
      <x:c r="A15" s="73" t="str">
        <x:v>G11</x:v>
      </x:c>
      <x:c r="B15" s="73" t="str">
        <x:v>All</x:v>
      </x:c>
      <x:c r="C15" s="73" t="str">
        <x:v>Historical returns, beta and volatility</x:v>
      </x:c>
      <x:c r="D15" s="73" t="str">
        <x:v>Needed for empirical probabilities</x:v>
      </x:c>
      <x:c r="E15" s="73" t="str">
        <x:v>High</x:v>
      </x:c>
      <x:c r="F15" s="256" t="str">
        <x:v>Partial</x:v>
      </x:c>
      <x:c r="G15" s="73" t="str">
        <x:v>2–3 years adjusted prices</x:v>
      </x:c>
      <x:c r="H15" s="73" t="str">
        <x:v>Probabilities subjective</x:v>
      </x:c>
      <x:c r="I15" s="73" t="str">
        <x:v>Licensed or downloadable market dataset</x:v>
      </x:c>
      <x:c r="J15" s="73" t="str">
        <x:v>Monte Carlo/distribution</x:v>
      </x:c>
    </x:row>
    <x:row r="16" ht="15" hidden="0" customHeight="1">
      <x:c r="A16" s="73" t="str">
        <x:v>G12</x:v>
      </x:c>
      <x:c r="B16" s="73" t="str">
        <x:v>All</x:v>
      </x:c>
      <x:c r="C16" s="73" t="str">
        <x:v>24-month catalyst and financing calendar</x:v>
      </x:c>
      <x:c r="D16" s="73" t="str">
        <x:v>Timing controls horizon realization</x:v>
      </x:c>
      <x:c r="E16" s="73" t="str">
        <x:v>High</x:v>
      </x:c>
      <x:c r="F16" s="256" t="str">
        <x:v>Partial</x:v>
      </x:c>
      <x:c r="G16" s="73" t="str">
        <x:v>Earnings, converts, ATM, deployments</x:v>
      </x:c>
      <x:c r="H16" s="73" t="str">
        <x:v>Wrong timing</x:v>
      </x:c>
      <x:c r="I16" s="73" t="str">
        <x:v>IR calendars / filings</x:v>
      </x:c>
      <x:c r="J16" s="73" t="str">
        <x:v>Map catalysts</x:v>
      </x:c>
    </x:row>
    <x:row r="17" ht="15" hidden="0" customHeight="1">
      <x:c r="A17" s="73" t="str">
        <x:v>G13</x:v>
      </x:c>
      <x:c r="B17" s="73" t="str">
        <x:v>All</x:v>
      </x:c>
      <x:c r="C17" s="73" t="str">
        <x:v>Tax and jurisdiction treatment</x:v>
      </x:c>
      <x:c r="D17" s="73" t="str">
        <x:v>May affect after-tax value</x:v>
      </x:c>
      <x:c r="E17" s="73" t="str">
        <x:v>Medium</x:v>
      </x:c>
      <x:c r="F17" s="256" t="str">
        <x:v>Missing</x:v>
      </x:c>
      <x:c r="G17" s="73" t="str">
        <x:v>Entity-specific tax assumptions</x:v>
      </x:c>
      <x:c r="H17" s="73" t="str">
        <x:v>Comparison imperfect</x:v>
      </x:c>
      <x:c r="I17" s="73" t="str">
        <x:v>Tax notes</x:v>
      </x:c>
      <x:c r="J17" s="73" t="str">
        <x:v>Add if material</x:v>
      </x:c>
    </x:row>
    <x:row r="18" ht="15" hidden="0" customHeight="1">
      <x:c r="A18" s="79" t="str">
        <x:v>G14</x:v>
      </x:c>
      <x:c r="B18" s="79" t="str">
        <x:v>All</x:v>
      </x:c>
      <x:c r="C18" s="79" t="str">
        <x:v>Segment valuation rules</x:v>
      </x:c>
      <x:c r="D18" s="79" t="str">
        <x:v>Prior targets mix NAV/mining/optionality</x:v>
      </x:c>
      <x:c r="E18" s="79" t="str">
        <x:v>Critical</x:v>
      </x:c>
      <x:c r="F18" s="257" t="str">
        <x:v>Complete</x:v>
      </x:c>
      <x:c r="G18" s="79" t="str">
        <x:v>Explicit sum-of-parts methods/multiples</x:v>
      </x:c>
      <x:c r="H18" s="79" t="str">
        <x:v>Targets not reproducible</x:v>
      </x:c>
      <x:c r="I18" s="79" t="str">
        <x:v>Stage 5 design</x:v>
      </x:c>
      <x:c r="J18" s="79" t="str">
        <x:v>Treasury + mining + HPC SOTP implemented</x:v>
      </x:c>
    </x:row>
  </x:sheetData>
  <x:mergeCells>
    <x:mergeCell ref="A1:J2"/>
    <x:mergeCell ref="A3:J3"/>
  </x:mergeCells>
  <x:conditionalFormatting sqref="E5:E18">
    <x:cfRule type="containsText" dxfId="0" priority="1" operator="containsText" text="Critical"/>
    <x:cfRule type="containsText" dxfId="1" priority="2" operator="containsText" text="High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26" hidden="0" customWidth="1"/>
    <x:col min="9" max="9" width="24" hidden="0" customWidth="1"/>
  </x:cols>
  <x:sheetData>
    <x:row r="1" ht="28" customHeight="1">
      <x:c r="A1" s="60" t="str">
        <x:v>Stage 3 Metric Dictionary for Stage 5</x:v>
      </x:c>
      <x:c r="B1" s="60" t="str">
        <x:v>Stage 3 Metric Dictionary for Stage 5</x:v>
      </x:c>
      <x:c r="C1" s="60" t="str">
        <x:v>Stage 3 Metric Dictionary for Stage 5</x:v>
      </x:c>
      <x:c r="D1" s="60" t="str">
        <x:v>Stage 3 Metric Dictionary for Stage 5</x:v>
      </x:c>
      <x:c r="E1" s="60" t="str">
        <x:v>Stage 3 Metric Dictionary for Stage 5</x:v>
      </x:c>
      <x:c r="F1" s="60" t="str">
        <x:v>Stage 3 Metric Dictionary for Stage 5</x:v>
      </x:c>
      <x:c r="G1" s="60" t="str">
        <x:v>Stage 3 Metric Dictionary for Stage 5</x:v>
      </x:c>
      <x:c r="H1" s="60" t="str">
        <x:v>Stage 3 Metric Dictionary for Stage 5</x:v>
      </x:c>
      <x:c r="I1" s="60" t="str">
        <x:v>Stage 3 Metric Dictionary for Stage 5</x:v>
      </x:c>
    </x:row>
    <x:row r="2" ht="28" customHeight="1">
      <x:c r="A2" s="60" t="str">
        <x:v>Stage 3 Metric Dictionary for Stage 5</x:v>
      </x:c>
      <x:c r="B2" s="60" t="str">
        <x:v>Stage 3 Metric Dictionary for Stage 5</x:v>
      </x:c>
      <x:c r="C2" s="60" t="str">
        <x:v>Stage 3 Metric Dictionary for Stage 5</x:v>
      </x:c>
      <x:c r="D2" s="60" t="str">
        <x:v>Stage 3 Metric Dictionary for Stage 5</x:v>
      </x:c>
      <x:c r="E2" s="60" t="str">
        <x:v>Stage 3 Metric Dictionary for Stage 5</x:v>
      </x:c>
      <x:c r="F2" s="60" t="str">
        <x:v>Stage 3 Metric Dictionary for Stage 5</x:v>
      </x:c>
      <x:c r="G2" s="60" t="str">
        <x:v>Stage 3 Metric Dictionary for Stage 5</x:v>
      </x:c>
      <x:c r="H2" s="60" t="str">
        <x:v>Stage 3 Metric Dictionary for Stage 5</x:v>
      </x:c>
      <x:c r="I2" s="60" t="str">
        <x:v>Stage 3 Metric Dictionary for Stage 5</x:v>
      </x:c>
    </x:row>
    <x:row r="3" ht="15" hidden="0" customHeight="1">
      <x:c r="A3" s="61" t="str">
        <x:v>Metrics are comparable only when denominator, currency, period and evidence class are compatible.</x:v>
      </x:c>
      <x:c r="B3" s="61" t="str">
        <x:v>Metrics are comparable only when denominator, currency, period and evidence class are compatible.</x:v>
      </x:c>
      <x:c r="C3" s="61" t="str">
        <x:v>Metrics are comparable only when denominator, currency, period and evidence class are compatible.</x:v>
      </x:c>
      <x:c r="D3" s="61" t="str">
        <x:v>Metrics are comparable only when denominator, currency, period and evidence class are compatible.</x:v>
      </x:c>
      <x:c r="E3" s="61" t="str">
        <x:v>Metrics are comparable only when denominator, currency, period and evidence class are compatible.</x:v>
      </x:c>
      <x:c r="F3" s="61" t="str">
        <x:v>Metrics are comparable only when denominator, currency, period and evidence class are compatible.</x:v>
      </x:c>
      <x:c r="G3" s="61" t="str">
        <x:v>Metrics are comparable only when denominator, currency, period and evidence class are compatible.</x:v>
      </x:c>
      <x:c r="H3" s="61" t="str">
        <x:v>Metrics are comparable only when denominator, currency, period and evidence class are compatible.</x:v>
      </x:c>
      <x:c r="I3" s="61" t="str">
        <x:v>Metrics are comparable only when denominator, currency, period and evidence class are compatible.</x:v>
      </x:c>
    </x:row>
    <x:row r="4" ht="15" hidden="0" customHeight="1">
      <x:c r="A4" s="64" t="str">
        <x:v>ID</x:v>
      </x:c>
      <x:c r="B4" s="65" t="str">
        <x:v>Metric</x:v>
      </x:c>
      <x:c r="C4" s="65" t="str">
        <x:v>Definition</x:v>
      </x:c>
      <x:c r="D4" s="65" t="str">
        <x:v>Formula</x:v>
      </x:c>
      <x:c r="E4" s="65" t="str">
        <x:v>Unit</x:v>
      </x:c>
      <x:c r="F4" s="65" t="str">
        <x:v>Direction</x:v>
      </x:c>
      <x:c r="G4" s="65" t="str">
        <x:v>Applies to</x:v>
      </x:c>
      <x:c r="H4" s="65" t="str">
        <x:v>Evidence needed</x:v>
      </x:c>
      <x:c r="I4" s="66" t="str">
        <x:v>Stage 5 role</x:v>
      </x:c>
    </x:row>
    <x:row r="5" ht="15" hidden="0" customHeight="1">
      <x:c r="A5" s="67" t="str">
        <x:v>K01</x:v>
      </x:c>
      <x:c r="B5" s="67" t="str">
        <x:v>Modeled excess return</x:v>
      </x:c>
      <x:c r="C5" s="67" t="str">
        <x:v>Stock return minus BTC return over same horizon</x:v>
      </x:c>
      <x:c r="D5" s="67" t="str">
        <x:v>Rstock − RBTC</x:v>
      </x:c>
      <x:c r="E5" s="67" t="str">
        <x:v>pp</x:v>
      </x:c>
      <x:c r="F5" s="67" t="str">
        <x:v>Higher</x:v>
      </x:c>
      <x:c r="G5" s="67" t="str">
        <x:v>All</x:v>
      </x:c>
      <x:c r="H5" s="67" t="str">
        <x:v>Scenario outputs</x:v>
      </x:c>
      <x:c r="I5" s="67" t="str">
        <x:v>Primary KPI</x:v>
      </x:c>
    </x:row>
    <x:row r="6" ht="15" hidden="0" customHeight="1">
      <x:c r="A6" s="73" t="str">
        <x:v>K02</x:v>
      </x:c>
      <x:c r="B6" s="73" t="str">
        <x:v>Probability of beating BTC</x:v>
      </x:c>
      <x:c r="C6" s="73" t="str">
        <x:v>Probability stock return exceeds BTC</x:v>
      </x:c>
      <x:c r="D6" s="73" t="str">
        <x:v>P(Rstock &gt; RBTC)</x:v>
      </x:c>
      <x:c r="E6" s="73" t="str">
        <x:v>%</x:v>
      </x:c>
      <x:c r="F6" s="73" t="str">
        <x:v>Higher</x:v>
      </x:c>
      <x:c r="G6" s="73" t="str">
        <x:v>All</x:v>
      </x:c>
      <x:c r="H6" s="73" t="str">
        <x:v>Return model</x:v>
      </x:c>
      <x:c r="I6" s="73" t="str">
        <x:v>Secondary KPI</x:v>
      </x:c>
    </x:row>
    <x:row r="7" ht="15" hidden="0" customHeight="1">
      <x:c r="A7" s="73" t="str">
        <x:v>K03</x:v>
      </x:c>
      <x:c r="B7" s="73" t="str">
        <x:v>Gross BTC/diluted share</x:v>
      </x:c>
      <x:c r="C7" s="73" t="str">
        <x:v>BTC divided by economic diluted shares</x:v>
      </x:c>
      <x:c r="D7" s="73" t="str">
        <x:v>BTC / diluted shares</x:v>
      </x:c>
      <x:c r="E7" s="73" t="str">
        <x:v>Sats/share</x:v>
      </x:c>
      <x:c r="F7" s="73" t="str">
        <x:v>Higher/growing</x:v>
      </x:c>
      <x:c r="G7" s="73" t="str">
        <x:v>All</x:v>
      </x:c>
      <x:c r="H7" s="73" t="str">
        <x:v>BTC + cap table</x:v>
      </x:c>
      <x:c r="I7" s="73" t="str">
        <x:v>Exposure</x:v>
      </x:c>
    </x:row>
    <x:row r="8" ht="15" hidden="0" customHeight="1">
      <x:c r="A8" s="73" t="str">
        <x:v>K04</x:v>
      </x:c>
      <x:c r="B8" s="73" t="str">
        <x:v>Net BTC value/share</x:v>
      </x:c>
      <x:c r="C8" s="73" t="str">
        <x:v>BTC value + cash − senior claims, per diluted share</x:v>
      </x:c>
      <x:c r="D8" s="73" t="str">
        <x:v>(Assets − claims)/shares</x:v>
      </x:c>
      <x:c r="E8" s="73" t="str">
        <x:v>Currency/share</x:v>
      </x:c>
      <x:c r="F8" s="73" t="str">
        <x:v>Higher</x:v>
      </x:c>
      <x:c r="G8" s="73" t="str">
        <x:v>Treasuries</x:v>
      </x:c>
      <x:c r="H8" s="73" t="str">
        <x:v>Capital stack</x:v>
      </x:c>
      <x:c r="I8" s="73" t="str">
        <x:v>NAV anchor</x:v>
      </x:c>
    </x:row>
    <x:row r="9" ht="15" hidden="0" customHeight="1">
      <x:c r="A9" s="73" t="str">
        <x:v>K05</x:v>
      </x:c>
      <x:c r="B9" s="73" t="str">
        <x:v>mNAV</x:v>
      </x:c>
      <x:c r="C9" s="73" t="str">
        <x:v>Share price divided by NAV/share</x:v>
      </x:c>
      <x:c r="D9" s="73" t="str">
        <x:v>Price / NAV</x:v>
      </x:c>
      <x:c r="E9" s="73" t="str">
        <x:v>x</x:v>
      </x:c>
      <x:c r="F9" s="73" t="str">
        <x:v>Lower</x:v>
      </x:c>
      <x:c r="G9" s="73" t="str">
        <x:v>Treasuries</x:v>
      </x:c>
      <x:c r="H9" s="73" t="str">
        <x:v>Price + NAV</x:v>
      </x:c>
      <x:c r="I9" s="73" t="str">
        <x:v>Valuation</x:v>
      </x:c>
    </x:row>
    <x:row r="10" ht="15" hidden="0" customHeight="1">
      <x:c r="A10" s="73" t="str">
        <x:v>K06</x:v>
      </x:c>
      <x:c r="B10" s="73" t="str">
        <x:v>Dilution rate</x:v>
      </x:c>
      <x:c r="C10" s="73" t="str">
        <x:v>Change in economic diluted shares</x:v>
      </x:c>
      <x:c r="D10" s="73" t="str">
        <x:v>End / begin − 1</x:v>
      </x:c>
      <x:c r="E10" s="73" t="str">
        <x:v>%</x:v>
      </x:c>
      <x:c r="F10" s="73" t="str">
        <x:v>Lower unless accretive</x:v>
      </x:c>
      <x:c r="G10" s="73" t="str">
        <x:v>All</x:v>
      </x:c>
      <x:c r="H10" s="73" t="str">
        <x:v>Cap table history</x:v>
      </x:c>
      <x:c r="I10" s="73" t="str">
        <x:v>Guardrail</x:v>
      </x:c>
    </x:row>
    <x:row r="11" ht="15" hidden="0" customHeight="1">
      <x:c r="A11" s="73" t="str">
        <x:v>K07</x:v>
      </x:c>
      <x:c r="B11" s="73" t="str">
        <x:v>BTC/share growth</x:v>
      </x:c>
      <x:c r="C11" s="73" t="str">
        <x:v>Change in sats/share</x:v>
      </x:c>
      <x:c r="D11" s="73" t="str">
        <x:v>End / begin − 1</x:v>
      </x:c>
      <x:c r="E11" s="73" t="str">
        <x:v>%</x:v>
      </x:c>
      <x:c r="F11" s="73" t="str">
        <x:v>Higher</x:v>
      </x:c>
      <x:c r="G11" s="73" t="str">
        <x:v>All</x:v>
      </x:c>
      <x:c r="H11" s="73" t="str">
        <x:v>BTC + cap table history</x:v>
      </x:c>
      <x:c r="I11" s="73" t="str">
        <x:v>Execution</x:v>
      </x:c>
    </x:row>
    <x:row r="12" ht="15" hidden="0" customHeight="1">
      <x:c r="A12" s="73" t="str">
        <x:v>K08</x:v>
      </x:c>
      <x:c r="B12" s="73" t="str">
        <x:v>Net leverage</x:v>
      </x:c>
      <x:c r="C12" s="73" t="str">
        <x:v>Senior claims net of cash relative to assets/EBITDA</x:v>
      </x:c>
      <x:c r="D12" s="73" t="str">
        <x:v>Net claims / reference</x:v>
      </x:c>
      <x:c r="E12" s="73" t="str">
        <x:v>x</x:v>
      </x:c>
      <x:c r="F12" s="73" t="str">
        <x:v>Lower</x:v>
      </x:c>
      <x:c r="G12" s="73" t="str">
        <x:v>All</x:v>
      </x:c>
      <x:c r="H12" s="73" t="str">
        <x:v>Balance sheet</x:v>
      </x:c>
      <x:c r="I12" s="73" t="str">
        <x:v>Risk</x:v>
      </x:c>
    </x:row>
    <x:row r="13" ht="15" hidden="0" customHeight="1">
      <x:c r="A13" s="73" t="str">
        <x:v>K09</x:v>
      </x:c>
      <x:c r="B13" s="73" t="str">
        <x:v>Liquidity runway</x:v>
      </x:c>
      <x:c r="C13" s="73" t="str">
        <x:v>Liquidity relative to annual fixed uses</x:v>
      </x:c>
      <x:c r="D13" s="73" t="str">
        <x:v>Liquidity / uses</x:v>
      </x:c>
      <x:c r="E13" s="73" t="str">
        <x:v>Years</x:v>
      </x:c>
      <x:c r="F13" s="73" t="str">
        <x:v>Higher</x:v>
      </x:c>
      <x:c r="G13" s="73" t="str">
        <x:v>All</x:v>
      </x:c>
      <x:c r="H13" s="73" t="str">
        <x:v>Cash + uses</x:v>
      </x:c>
      <x:c r="I13" s="73" t="str">
        <x:v>Risk</x:v>
      </x:c>
    </x:row>
    <x:row r="14" ht="15" hidden="0" customHeight="1">
      <x:c r="A14" s="73" t="str">
        <x:v>K10</x:v>
      </x:c>
      <x:c r="B14" s="73" t="str">
        <x:v>Realized hashrate</x:v>
      </x:c>
      <x:c r="C14" s="73" t="str">
        <x:v>Average productive compute capacity</x:v>
      </x:c>
      <x:c r="D14" s="73" t="str">
        <x:v>Reported average</x:v>
      </x:c>
      <x:c r="E14" s="73" t="str">
        <x:v>EH/s</x:v>
      </x:c>
      <x:c r="F14" s="73" t="str">
        <x:v>Higher</x:v>
      </x:c>
      <x:c r="G14" s="73" t="str">
        <x:v>Miners</x:v>
      </x:c>
      <x:c r="H14" s="73" t="str">
        <x:v>Operations</x:v>
      </x:c>
      <x:c r="I14" s="73" t="str">
        <x:v>Production driver</x:v>
      </x:c>
    </x:row>
    <x:row r="15" ht="15" hidden="0" customHeight="1">
      <x:c r="A15" s="73" t="str">
        <x:v>K11</x:v>
      </x:c>
      <x:c r="B15" s="73" t="str">
        <x:v>Fleet efficiency</x:v>
      </x:c>
      <x:c r="C15" s="73" t="str">
        <x:v>Energy per unit hashrate</x:v>
      </x:c>
      <x:c r="D15" s="73" t="str">
        <x:v>Reported</x:v>
      </x:c>
      <x:c r="E15" s="73" t="str">
        <x:v>J/TH</x:v>
      </x:c>
      <x:c r="F15" s="73" t="str">
        <x:v>Lower</x:v>
      </x:c>
      <x:c r="G15" s="73" t="str">
        <x:v>Miners</x:v>
      </x:c>
      <x:c r="H15" s="73" t="str">
        <x:v>Operations</x:v>
      </x:c>
      <x:c r="I15" s="73" t="str">
        <x:v>Cost driver</x:v>
      </x:c>
    </x:row>
    <x:row r="16" ht="15" hidden="0" customHeight="1">
      <x:c r="A16" s="73" t="str">
        <x:v>K12</x:v>
      </x:c>
      <x:c r="B16" s="73" t="str">
        <x:v>Cash cost/BTC</x:v>
      </x:c>
      <x:c r="C16" s="73" t="str">
        <x:v>Direct cash mining cost per BTC</x:v>
      </x:c>
      <x:c r="D16" s="73" t="str">
        <x:v>Cash cost / BTC</x:v>
      </x:c>
      <x:c r="E16" s="73" t="str">
        <x:v>USD/BTC</x:v>
      </x:c>
      <x:c r="F16" s="73" t="str">
        <x:v>Lower</x:v>
      </x:c>
      <x:c r="G16" s="73" t="str">
        <x:v>Miners</x:v>
      </x:c>
      <x:c r="H16" s="73" t="str">
        <x:v>Costs</x:v>
      </x:c>
      <x:c r="I16" s="73" t="str">
        <x:v>Margin driver</x:v>
      </x:c>
    </x:row>
    <x:row r="17" ht="15" hidden="0" customHeight="1">
      <x:c r="A17" s="73" t="str">
        <x:v>K13</x:v>
      </x:c>
      <x:c r="B17" s="73" t="str">
        <x:v>Difficulty-adjusted production</x:v>
      </x:c>
      <x:c r="C17" s="73" t="str">
        <x:v>Expected production after difficulty</x:v>
      </x:c>
      <x:c r="D17" s="73" t="str">
        <x:v>Hash share × issuance</x:v>
      </x:c>
      <x:c r="E17" s="73" t="str">
        <x:v>BTC</x:v>
      </x:c>
      <x:c r="F17" s="73" t="str">
        <x:v>Higher</x:v>
      </x:c>
      <x:c r="G17" s="73" t="str">
        <x:v>Miners</x:v>
      </x:c>
      <x:c r="H17" s="73" t="str">
        <x:v>Hashrate + difficulty</x:v>
      </x:c>
      <x:c r="I17" s="73" t="str">
        <x:v>Scenario driver</x:v>
      </x:c>
    </x:row>
    <x:row r="18" ht="15" hidden="0" customHeight="1">
      <x:c r="A18" s="73" t="str">
        <x:v>K14</x:v>
      </x:c>
      <x:c r="B18" s="73" t="str">
        <x:v>FCF conversion</x:v>
      </x:c>
      <x:c r="C18" s="73" t="str">
        <x:v>FCF relative to EBITDA</x:v>
      </x:c>
      <x:c r="D18" s="73" t="str">
        <x:v>FCF / EBITDA</x:v>
      </x:c>
      <x:c r="E18" s="73" t="str">
        <x:v>%</x:v>
      </x:c>
      <x:c r="F18" s="73" t="str">
        <x:v>Higher</x:v>
      </x:c>
      <x:c r="G18" s="73" t="str">
        <x:v>Miners</x:v>
      </x:c>
      <x:c r="H18" s="73" t="str">
        <x:v>Cash flow + capex</x:v>
      </x:c>
      <x:c r="I18" s="73" t="str">
        <x:v>Quality</x:v>
      </x:c>
    </x:row>
    <x:row r="19" ht="15" hidden="0" customHeight="1">
      <x:c r="A19" s="73" t="str">
        <x:v>K15</x:v>
      </x:c>
      <x:c r="B19" s="73" t="str">
        <x:v>BTC collateral ratio</x:v>
      </x:c>
      <x:c r="C19" s="73" t="str">
        <x:v>Encumbered BTC divided by total BTC</x:v>
      </x:c>
      <x:c r="D19" s="73" t="str">
        <x:v>Encumbered / total</x:v>
      </x:c>
      <x:c r="E19" s="73" t="str">
        <x:v>%</x:v>
      </x:c>
      <x:c r="F19" s="73" t="str">
        <x:v>Lower</x:v>
      </x:c>
      <x:c r="G19" s="73" t="str">
        <x:v>All</x:v>
      </x:c>
      <x:c r="H19" s="73" t="str">
        <x:v>Collateral</x:v>
      </x:c>
      <x:c r="I19" s="73" t="str">
        <x:v>Liquidity risk</x:v>
      </x:c>
    </x:row>
    <x:row r="20" ht="15" hidden="0" customHeight="1">
      <x:c r="A20" s="79" t="str">
        <x:v>K16</x:v>
      </x:c>
      <x:c r="B20" s="79" t="str">
        <x:v>Evidence confidence</x:v>
      </x:c>
      <x:c r="C20" s="79" t="str">
        <x:v>Source, freshness and comparability assessment</x:v>
      </x:c>
      <x:c r="D20" s="79" t="str">
        <x:v>Structured class</x:v>
      </x:c>
      <x:c r="E20" s="79" t="str">
        <x:v>Class</x:v>
      </x:c>
      <x:c r="F20" s="79" t="str">
        <x:v>Higher</x:v>
      </x:c>
      <x:c r="G20" s="79" t="str">
        <x:v>All</x:v>
      </x:c>
      <x:c r="H20" s="79" t="str">
        <x:v>Audit trail</x:v>
      </x:c>
      <x:c r="I20" s="79" t="str">
        <x:v>Interpretive weight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  <x:col min="7" max="7" width="14" hidden="0" customWidth="1"/>
    <x:col min="8" max="8" width="30" hidden="0" customWidth="1"/>
    <x:col min="9" max="9" width="25" hidden="0" customWidth="1"/>
  </x:cols>
  <x:sheetData>
    <x:row r="1" ht="28" customHeight="1">
      <x:c r="A1" s="60" t="str">
        <x:v>Sources and Audit Trail</x:v>
      </x:c>
      <x:c r="B1" s="60" t="str">
        <x:v>Sources and Audit Trail</x:v>
      </x:c>
      <x:c r="C1" s="60" t="str">
        <x:v>Sources and Audit Trail</x:v>
      </x:c>
      <x:c r="D1" s="60" t="str">
        <x:v>Sources and Audit Trail</x:v>
      </x:c>
      <x:c r="E1" s="60" t="str">
        <x:v>Sources and Audit Trail</x:v>
      </x:c>
      <x:c r="F1" s="60" t="str">
        <x:v>Sources and Audit Trail</x:v>
      </x:c>
      <x:c r="G1" s="60" t="str">
        <x:v>Sources and Audit Trail</x:v>
      </x:c>
      <x:c r="H1" s="60" t="str">
        <x:v>Sources and Audit Trail</x:v>
      </x:c>
      <x:c r="I1" s="60" t="str">
        <x:v>Sources and Audit Trail</x:v>
      </x:c>
    </x:row>
    <x:row r="2" ht="28" customHeight="1">
      <x:c r="A2" s="60" t="str">
        <x:v>Sources and Audit Trail</x:v>
      </x:c>
      <x:c r="B2" s="60" t="str">
        <x:v>Sources and Audit Trail</x:v>
      </x:c>
      <x:c r="C2" s="60" t="str">
        <x:v>Sources and Audit Trail</x:v>
      </x:c>
      <x:c r="D2" s="60" t="str">
        <x:v>Sources and Audit Trail</x:v>
      </x:c>
      <x:c r="E2" s="60" t="str">
        <x:v>Sources and Audit Trail</x:v>
      </x:c>
      <x:c r="F2" s="60" t="str">
        <x:v>Sources and Audit Trail</x:v>
      </x:c>
      <x:c r="G2" s="60" t="str">
        <x:v>Sources and Audit Trail</x:v>
      </x:c>
      <x:c r="H2" s="60" t="str">
        <x:v>Sources and Audit Trail</x:v>
      </x:c>
      <x:c r="I2" s="60" t="str">
        <x:v>Sources and Audit Trail</x:v>
      </x:c>
    </x:row>
    <x:row r="3" ht="15" hidden="0" customHeight="1">
      <x:c r="A3" s="61" t="str">
        <x:v>URLs identify the source family. Add exact filing accession and page references when refreshing the final dataset.</x:v>
      </x:c>
      <x:c r="B3" s="61" t="str">
        <x:v>URLs identify the source family. Add exact filing accession and page references when refreshing the final dataset.</x:v>
      </x:c>
      <x:c r="C3" s="61" t="str">
        <x:v>URLs identify the source family. Add exact filing accession and page references when refreshing the final dataset.</x:v>
      </x:c>
      <x:c r="D3" s="61" t="str">
        <x:v>URLs identify the source family. Add exact filing accession and page references when refreshing the final dataset.</x:v>
      </x:c>
      <x:c r="E3" s="61" t="str">
        <x:v>URLs identify the source family. Add exact filing accession and page references when refreshing the final dataset.</x:v>
      </x:c>
      <x:c r="F3" s="61" t="str">
        <x:v>URLs identify the source family. Add exact filing accession and page references when refreshing the final dataset.</x:v>
      </x:c>
      <x:c r="G3" s="61" t="str">
        <x:v>URLs identify the source family. Add exact filing accession and page references when refreshing the final dataset.</x:v>
      </x:c>
      <x:c r="H3" s="61" t="str">
        <x:v>URLs identify the source family. Add exact filing accession and page references when refreshing the final dataset.</x:v>
      </x:c>
      <x:c r="I3" s="61" t="str">
        <x:v>URLs identify the source family. Add exact filing accession and page references when refreshing the final dataset.</x:v>
      </x:c>
    </x:row>
    <x:row r="4" ht="15" hidden="0" customHeight="1">
      <x:c r="A4" s="64" t="str">
        <x:v>Source ID</x:v>
      </x:c>
      <x:c r="B4" s="65" t="str">
        <x:v>Entity</x:v>
      </x:c>
      <x:c r="C4" s="65" t="str">
        <x:v>Metric family</x:v>
      </x:c>
      <x:c r="D4" s="65" t="str">
        <x:v>As-of</x:v>
      </x:c>
      <x:c r="E4" s="65" t="str">
        <x:v>Source type</x:v>
      </x:c>
      <x:c r="F4" s="65" t="str">
        <x:v>Source URL</x:v>
      </x:c>
      <x:c r="G4" s="65" t="str">
        <x:v>Evidence class</x:v>
      </x:c>
      <x:c r="H4" s="65" t="str">
        <x:v>Limitation</x:v>
      </x:c>
      <x:c r="I4" s="66" t="str">
        <x:v>Workbook use</x:v>
      </x:c>
    </x:row>
    <x:row r="5" ht="15" hidden="0" customHeight="1">
      <x:c r="A5" s="67" t="str">
        <x:v>SRC01</x:v>
      </x:c>
      <x:c r="B5" s="67" t="str">
        <x:v>Bitcoin</x:v>
      </x:c>
      <x:c r="C5" s="67" t="str">
        <x:v>Price, market cap, fees, users</x:v>
      </x:c>
      <x:c r="D5" s="67" t="str">
        <x:v>2026-08-25</x:v>
      </x:c>
      <x:c r="E5" s="67" t="str">
        <x:v>Token Terminal</x:v>
      </x:c>
      <x:c r="F5" s="68" t="str">
        <x:v>https://tokenterminal.com/terminal/projects/bitcoin/metrics</x:v>
      </x:c>
      <x:c r="G5" s="67" t="str">
        <x:v>Observed</x:v>
      </x:c>
      <x:c r="H5" s="67" t="str">
        <x:v>No full miner revenue/difficulty series</x:v>
      </x:c>
      <x:c r="I5" s="67" t="str">
        <x:v>Benchmark</x:v>
      </x:c>
    </x:row>
    <x:row r="6" ht="15" hidden="0" customHeight="1">
      <x:c r="A6" s="73" t="str">
        <x:v>SRC02</x:v>
      </x:c>
      <x:c r="B6" s="73" t="str">
        <x:v>Bitcoin network</x:v>
      </x:c>
      <x:c r="C6" s="73" t="str">
        <x:v>Hashrate, difficulty, revenue mix</x:v>
      </x:c>
      <x:c r="D6" s="73" t="str">
        <x:v>2026-08-14 to 2026-08-21</x:v>
      </x:c>
      <x:c r="E6" s="73" t="str">
        <x:v>Network research</x:v>
      </x:c>
      <x:c r="F6" s="74" t="str">
        <x:v>https://mempool.space/</x:v>
      </x:c>
      <x:c r="G6" s="73" t="str">
        <x:v>Observed/derived</x:v>
      </x:c>
      <x:c r="H6" s="73" t="str">
        <x:v>Weekly snapshot</x:v>
      </x:c>
      <x:c r="I6" s="73" t="str">
        <x:v>Mining baseline</x:v>
      </x:c>
    </x:row>
    <x:row r="7" ht="15" hidden="0" customHeight="1">
      <x:c r="A7" s="73" t="str">
        <x:v>SRC03</x:v>
      </x:c>
      <x:c r="B7" s="73" t="str">
        <x:v>Strategy</x:v>
      </x:c>
      <x:c r="C7" s="73" t="str">
        <x:v>BTC, shares, capital stack</x:v>
      </x:c>
      <x:c r="D7" s="73" t="str">
        <x:v>2026-08-23</x:v>
      </x:c>
      <x:c r="E7" s="73" t="str">
        <x:v>IR + SEC</x:v>
      </x:c>
      <x:c r="F7" s="74" t="str">
        <x:v>https://www.strategy.com/investor-relations</x:v>
      </x:c>
      <x:c r="G7" s="73" t="str">
        <x:v>Observed/calculated</x:v>
      </x:c>
      <x:c r="H7" s="73" t="str">
        <x:v>Changes rapidly</x:v>
      </x:c>
      <x:c r="I7" s="73" t="str">
        <x:v>Metrics + NAV</x:v>
      </x:c>
    </x:row>
    <x:row r="8" ht="15" hidden="0" customHeight="1">
      <x:c r="A8" s="73" t="str">
        <x:v>SRC04</x:v>
      </x:c>
      <x:c r="B8" s="73" t="str">
        <x:v>Metaplanet</x:v>
      </x:c>
      <x:c r="C8" s="73" t="str">
        <x:v>BTC, diluted shares, H1 operations</x:v>
      </x:c>
      <x:c r="D8" s="73" t="str">
        <x:v>2026 Q2/H1</x:v>
      </x:c>
      <x:c r="E8" s="73" t="str">
        <x:v>IR</x:v>
      </x:c>
      <x:c r="F8" s="74" t="str">
        <x:v>https://metaplanet.jp/en/shareholders</x:v>
      </x:c>
      <x:c r="G8" s="73" t="str">
        <x:v>Observed/calculated</x:v>
      </x:c>
      <x:c r="H8" s="73" t="str">
        <x:v>Capital stack incomplete</x:v>
      </x:c>
      <x:c r="I8" s="73" t="str">
        <x:v>Metrics + provisional NAV</x:v>
      </x:c>
    </x:row>
    <x:row r="9" ht="15" hidden="0" customHeight="1">
      <x:c r="A9" s="73" t="str">
        <x:v>SRC05</x:v>
      </x:c>
      <x:c r="B9" s="73" t="str">
        <x:v>American Bitcoin</x:v>
      </x:c>
      <x:c r="C9" s="73" t="str">
        <x:v>BTC, mining, liabilities, ATM</x:v>
      </x:c>
      <x:c r="D9" s="73" t="str">
        <x:v>2026 Q2</x:v>
      </x:c>
      <x:c r="E9" s="73" t="str">
        <x:v>SEC</x:v>
      </x:c>
      <x:c r="F9" s="74" t="str">
        <x:v>https://ir.americanbitcoin.com/financials/sec-filings</x:v>
      </x:c>
      <x:c r="G9" s="73" t="str">
        <x:v>Observed/calculated</x:v>
      </x:c>
      <x:c r="H9" s="73" t="str">
        <x:v>Scenario dilution missing</x:v>
      </x:c>
      <x:c r="I9" s="73" t="str">
        <x:v>Metrics</x:v>
      </x:c>
    </x:row>
    <x:row r="10" ht="15" hidden="0" customHeight="1">
      <x:c r="A10" s="73" t="str">
        <x:v>SRC06</x:v>
      </x:c>
      <x:c r="B10" s="73" t="str">
        <x:v>Twenty One Capital</x:v>
      </x:c>
      <x:c r="C10" s="73" t="str">
        <x:v>BTC, shares, convert, collateral</x:v>
      </x:c>
      <x:c r="D10" s="73" t="str">
        <x:v>2026 Q1/latest</x:v>
      </x:c>
      <x:c r="E10" s="73" t="str">
        <x:v>SEC</x:v>
      </x:c>
      <x:c r="F10" s="74" t="str">
        <x:v>https://www.sec.gov/edgar/search/#/q=Twenty%2520One%2520Capital</x:v>
      </x:c>
      <x:c r="G10" s="73" t="str">
        <x:v>Observed/calculated</x:v>
      </x:c>
      <x:c r="H10" s="73" t="str">
        <x:v>Conversion/options model missing</x:v>
      </x:c>
      <x:c r="I10" s="73" t="str">
        <x:v>Metrics + current NAV</x:v>
      </x:c>
    </x:row>
    <x:row r="11" ht="15" hidden="0" customHeight="1">
      <x:c r="A11" s="73" t="str">
        <x:v>SRC07</x:v>
      </x:c>
      <x:c r="B11" s="73" t="str">
        <x:v>CleanSpark</x:v>
      </x:c>
      <x:c r="C11" s="73" t="str">
        <x:v>BTC, mining, debt, dilution</x:v>
      </x:c>
      <x:c r="D11" s="73" t="str">
        <x:v>2026 Q2/July</x:v>
      </x:c>
      <x:c r="E11" s="73" t="str">
        <x:v>IR + SEC</x:v>
      </x:c>
      <x:c r="F11" s="74" t="str">
        <x:v>https://investors.cleanspark.com/financials/sec-filings/default.aspx</x:v>
      </x:c>
      <x:c r="G11" s="73" t="str">
        <x:v>Observed/calculated</x:v>
      </x:c>
      <x:c r="H11" s="73" t="str">
        <x:v>HPC/dilution incomplete</x:v>
      </x:c>
      <x:c r="I11" s="73" t="str">
        <x:v>Metrics</x:v>
      </x:c>
    </x:row>
    <x:row r="12" ht="15" hidden="0" customHeight="1">
      <x:c r="A12" s="73" t="str">
        <x:v>SRC08</x:v>
      </x:c>
      <x:c r="B12" s="73" t="str">
        <x:v>MARA</x:v>
      </x:c>
      <x:c r="C12" s="73" t="str">
        <x:v>BTC, mining, debt, sales</x:v>
      </x:c>
      <x:c r="D12" s="73" t="str">
        <x:v>2026 Q2</x:v>
      </x:c>
      <x:c r="E12" s="73" t="str">
        <x:v>IR + SEC</x:v>
      </x:c>
      <x:c r="F12" s="74" t="str">
        <x:v>https://ir.mara.com/financial-information/sec-filings</x:v>
      </x:c>
      <x:c r="G12" s="73" t="str">
        <x:v>Observed/calculated</x:v>
      </x:c>
      <x:c r="H12" s="73" t="str">
        <x:v>Sale policy/dilution incomplete</x:v>
      </x:c>
      <x:c r="I12" s="73" t="str">
        <x:v>Metrics</x:v>
      </x:c>
    </x:row>
    <x:row r="13" ht="15" hidden="0" customHeight="1">
      <x:c r="A13" s="79" t="str">
        <x:v>SRC09</x:v>
      </x:c>
      <x:c r="B13" s="79" t="str">
        <x:v>Prior analysis</x:v>
      </x:c>
      <x:c r="C13" s="79" t="str">
        <x:v>Targets and probabilities</x:v>
      </x:c>
      <x:c r="D13" s="79" t="str">
        <x:v>2026-08-27 upload</x:v>
      </x:c>
      <x:c r="E13" s="79" t="str">
        <x:v>Uploaded markdown</x:v>
      </x:c>
      <x:c r="F13" s="80" t="str">
        <x:v>Pasted markdown(20260827-031908).md</x:v>
      </x:c>
      <x:c r="G13" s="79" t="str">
        <x:v>Modeled/judgment</x:v>
      </x:c>
      <x:c r="H13" s="79" t="str">
        <x:v>Denominator errors and subjective probabilities</x:v>
      </x:c>
      <x:c r="I13" s="79" t="str">
        <x:v>Scenario tab only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28" customHeight="1">
      <x:c r="A1" s="381" t="str">
        <x:v>Stage 4 Model Checks and Execution Gate</x:v>
      </x:c>
      <x:c r="B1" s="381"/>
      <x:c r="C1" s="381"/>
      <x:c r="D1" s="381"/>
      <x:c r="E1" s="381"/>
      <x:c r="F1" s="381"/>
      <x:c r="G1" s="381"/>
      <x:c r="H1" s="381"/>
    </x:row>
    <x:row r="2" ht="28" customHeight="1">
      <x:c r="A2" s="381"/>
      <x:c r="B2" s="381"/>
      <x:c r="C2" s="381"/>
      <x:c r="D2" s="381"/>
      <x:c r="E2" s="381"/>
      <x:c r="F2" s="381"/>
      <x:c r="G2" s="381"/>
      <x:c r="H2" s="381"/>
    </x:row>
    <x:row r="3" ht="30" hidden="0" customHeight="1">
      <x:c r="A3" s="326" t="str">
        <x:v>All model checks must pass for Stage 4 completion. Stage 5 interpretation remains a separate step.</x:v>
      </x:c>
      <x:c r="B3" s="326"/>
      <x:c r="C3" s="326"/>
      <x:c r="D3" s="326"/>
      <x:c r="E3" s="326"/>
      <x:c r="F3" s="326"/>
      <x:c r="G3" s="326"/>
      <x:c r="H3" s="326"/>
    </x:row>
    <x:row r="4" ht="34" hidden="0" customHeight="1">
      <x:c r="A4" s="333" t="str">
        <x:v>ID</x:v>
      </x:c>
      <x:c r="B4" s="334" t="str">
        <x:v>Assertion</x:v>
      </x:c>
      <x:c r="C4" s="334" t="str">
        <x:v>Actual</x:v>
      </x:c>
      <x:c r="D4" s="334" t="str">
        <x:v>Expected</x:v>
      </x:c>
      <x:c r="E4" s="334" t="str">
        <x:v>Difference</x:v>
      </x:c>
      <x:c r="F4" s="334" t="str">
        <x:v>Tolerance</x:v>
      </x:c>
      <x:c r="G4" s="334" t="str">
        <x:v>Status</x:v>
      </x:c>
      <x:c r="H4" s="335" t="str">
        <x:v>Notes</x:v>
      </x:c>
    </x:row>
    <x:row r="5" ht="15" hidden="0" customHeight="1">
      <x:c r="A5" s="405" t="str">
        <x:v>C01</x:v>
      </x:c>
      <x:c r="B5" s="405" t="str">
        <x:v>Company count</x:v>
      </x:c>
      <x:c r="C5" s="382" t="n">
        <x:f>COUNTA('Stage 4 Assumptions'!$A$12:$A$17)</x:f>
        <x:v>6</x:v>
      </x:c>
      <x:c r="D5" s="382" t="n">
        <x:v>6</x:v>
      </x:c>
      <x:c r="E5" s="382" t="n">
        <x:f>C5-D5</x:f>
        <x:v>0</x:v>
      </x:c>
      <x:c r="F5" s="382" t="n">
        <x:v>0</x:v>
      </x:c>
      <x:c r="G5" s="382" t="str">
        <x:f>IF(ABS(E5)&lt;=F5,"OK","REVIEW")</x:f>
        <x:v>OK</x:v>
      </x:c>
      <x:c r="H5" s="405" t="str">
        <x:v>Six companies</x:v>
      </x:c>
    </x:row>
    <x:row r="6" ht="15" hidden="0" customHeight="1">
      <x:c r="A6" s="406" t="str">
        <x:v>C02</x:v>
      </x:c>
      <x:c r="B6" s="406" t="str">
        <x:v>Scenario count</x:v>
      </x:c>
      <x:c r="C6" s="389" t="n">
        <x:f>COUNTA('Stage 4 Assumptions'!$A$6:$A$8)</x:f>
        <x:v>3</x:v>
      </x:c>
      <x:c r="D6" s="389" t="n">
        <x:v>3</x:v>
      </x:c>
      <x:c r="E6" s="389" t="n">
        <x:f>C6-D6</x:f>
        <x:v>0</x:v>
      </x:c>
      <x:c r="F6" s="389" t="n">
        <x:v>0</x:v>
      </x:c>
      <x:c r="G6" s="389" t="str">
        <x:f>IF(ABS(E6)&lt;=F6,"OK","REVIEW")</x:f>
        <x:v>OK</x:v>
      </x:c>
      <x:c r="H6" s="406" t="str">
        <x:v>Three BTC upside scenarios</x:v>
      </x:c>
    </x:row>
    <x:row r="7" ht="15" hidden="0" customHeight="1">
      <x:c r="A7" s="406" t="str">
        <x:v>C03</x:v>
      </x:c>
      <x:c r="B7" s="406" t="str">
        <x:v>Model rows</x:v>
      </x:c>
      <x:c r="C7" s="389" t="n">
        <x:f>COUNTA('Stage 4 Model'!$A$5:$A$22)</x:f>
        <x:v>18</x:v>
      </x:c>
      <x:c r="D7" s="389" t="n">
        <x:v>18</x:v>
      </x:c>
      <x:c r="E7" s="389" t="n">
        <x:f>C7-D7</x:f>
        <x:v>0</x:v>
      </x:c>
      <x:c r="F7" s="389" t="n">
        <x:v>0</x:v>
      </x:c>
      <x:c r="G7" s="389" t="str">
        <x:f>IF(ABS(E7)&lt;=F7,"OK","REVIEW")</x:f>
        <x:v>OK</x:v>
      </x:c>
      <x:c r="H7" s="406" t="str">
        <x:v>Six × three</x:v>
      </x:c>
    </x:row>
    <x:row r="8" ht="15" hidden="0" customHeight="1">
      <x:c r="A8" s="406" t="str">
        <x:v>C04</x:v>
      </x:c>
      <x:c r="B8" s="406" t="str">
        <x:v>Rebuilt scenario rows</x:v>
      </x:c>
      <x:c r="C8" s="389" t="n">
        <x:f>COUNTIF('Scenario Returns'!$L$5:$L$22,"Rebuilt")</x:f>
        <x:v>18</x:v>
      </x:c>
      <x:c r="D8" s="389" t="n">
        <x:v>18</x:v>
      </x:c>
      <x:c r="E8" s="389" t="n">
        <x:f>C8-D8</x:f>
        <x:v>0</x:v>
      </x:c>
      <x:c r="F8" s="389" t="n">
        <x:v>0</x:v>
      </x:c>
      <x:c r="G8" s="389" t="str">
        <x:f>IF(ABS(E8)&lt;=F8,"OK","REVIEW")</x:f>
        <x:v>OK</x:v>
      </x:c>
      <x:c r="H8" s="406" t="str">
        <x:v>No provisional rows remain</x:v>
      </x:c>
    </x:row>
    <x:row r="9" ht="15" hidden="0" customHeight="1">
      <x:c r="A9" s="406" t="str">
        <x:v>C05</x:v>
      </x:c>
      <x:c r="B9" s="406" t="str">
        <x:v>Missing target prices</x:v>
      </x:c>
      <x:c r="C9" s="389" t="n">
        <x:f>COUNTBLANK('Stage 4 Model'!$W$5:$W$22)</x:f>
        <x:v>0</x:v>
      </x:c>
      <x:c r="D9" s="389" t="n">
        <x:v>0</x:v>
      </x:c>
      <x:c r="E9" s="389" t="n">
        <x:f>C9-D9</x:f>
        <x:v>0</x:v>
      </x:c>
      <x:c r="F9" s="389" t="n">
        <x:v>0</x:v>
      </x:c>
      <x:c r="G9" s="389" t="str">
        <x:f>IF(ABS(E9)&lt;=F9,"OK","REVIEW")</x:f>
        <x:v>OK</x:v>
      </x:c>
      <x:c r="H9" s="406" t="str">
        <x:v>All target prices populated</x:v>
      </x:c>
    </x:row>
    <x:row r="10" ht="15" hidden="0" customHeight="1">
      <x:c r="A10" s="406" t="str">
        <x:v>C06</x:v>
      </x:c>
      <x:c r="B10" s="406" t="str">
        <x:v>Positive equity values</x:v>
      </x:c>
      <x:c r="C10" s="389" t="n">
        <x:f>COUNTIF('Stage 4 Model'!$V$5:$V$22,"&gt;0")</x:f>
        <x:v>18</x:v>
      </x:c>
      <x:c r="D10" s="389" t="n">
        <x:v>18</x:v>
      </x:c>
      <x:c r="E10" s="389" t="n">
        <x:f>C10-D10</x:f>
        <x:v>0</x:v>
      </x:c>
      <x:c r="F10" s="389" t="n">
        <x:v>0</x:v>
      </x:c>
      <x:c r="G10" s="389" t="str">
        <x:f>IF(ABS(E10)&lt;=F10,"OK","REVIEW")</x:f>
        <x:v>OK</x:v>
      </x:c>
      <x:c r="H10" s="406" t="str">
        <x:v>No negative/common equity plugs</x:v>
      </x:c>
    </x:row>
    <x:row r="11" ht="15" hidden="0" customHeight="1">
      <x:c r="A11" s="406" t="str">
        <x:v>C07</x:v>
      </x:c>
      <x:c r="B11" s="406" t="str">
        <x:v>Positive ending shares</x:v>
      </x:c>
      <x:c r="C11" s="389" t="n">
        <x:f>COUNTIF('Stage 4 Model'!$L$5:$L$22,"&gt;0")</x:f>
        <x:v>18</x:v>
      </x:c>
      <x:c r="D11" s="389" t="n">
        <x:v>18</x:v>
      </x:c>
      <x:c r="E11" s="389" t="n">
        <x:f>C11-D11</x:f>
        <x:v>0</x:v>
      </x:c>
      <x:c r="F11" s="389" t="n">
        <x:v>0</x:v>
      </x:c>
      <x:c r="G11" s="389" t="str">
        <x:f>IF(ABS(E11)&lt;=F11,"OK","REVIEW")</x:f>
        <x:v>OK</x:v>
      </x:c>
      <x:c r="H11" s="406" t="str">
        <x:v>Share denominators valid</x:v>
      </x:c>
    </x:row>
    <x:row r="12" ht="15" hidden="0" customHeight="1">
      <x:c r="A12" s="406" t="str">
        <x:v>C08</x:v>
      </x:c>
      <x:c r="B12" s="406" t="str">
        <x:v>MSTR return tie</x:v>
      </x:c>
      <x:c r="C12" s="407" t="n">
        <x:f>'Stage 4 Model'!X5</x:f>
        <x:v>0.6535337965468158</x:v>
      </x:c>
      <x:c r="D12" s="407" t="n">
        <x:f>'Stage 4 Model'!W5/'Stage 4 Model'!E5-1</x:f>
        <x:v>0.6535337965468158</x:v>
      </x:c>
      <x:c r="E12" s="407" t="n">
        <x:f>C12-D12</x:f>
        <x:v>0</x:v>
      </x:c>
      <x:c r="F12" s="407" t="n">
        <x:v>0.000001</x:v>
      </x:c>
      <x:c r="G12" s="389" t="str">
        <x:f>IF(ABS(E12)&lt;=F12,"OK","REVIEW")</x:f>
        <x:v>OK</x:v>
      </x:c>
      <x:c r="H12" s="406" t="str">
        <x:v>Target/current minus one</x:v>
      </x:c>
    </x:row>
    <x:row r="13" ht="15" hidden="0" customHeight="1">
      <x:c r="A13" s="406" t="str">
        <x:v>C09</x:v>
      </x:c>
      <x:c r="B13" s="406" t="str">
        <x:v>ABTC sats/share tie</x:v>
      </x:c>
      <x:c r="C13" s="407" t="n">
        <x:f>'Stage 4 Model'!N14</x:f>
        <x:v>13504.021875722507</x:v>
      </x:c>
      <x:c r="D13" s="407" t="n">
        <x:f>'Stage 4 Model'!M14/('Stage 4 Model'!L14*1000000)*100000000</x:f>
        <x:v>13504.021875722507</x:v>
      </x:c>
      <x:c r="E13" s="407" t="n">
        <x:f>C13-D13</x:f>
        <x:v>0</x:v>
      </x:c>
      <x:c r="F13" s="407" t="n">
        <x:v>0.01</x:v>
      </x:c>
      <x:c r="G13" s="389" t="str">
        <x:f>IF(ABS(E13)&lt;=F13,"OK","REVIEW")</x:f>
        <x:v>OK</x:v>
      </x:c>
      <x:c r="H13" s="406" t="str">
        <x:v>Ending BTC / ending shares</x:v>
      </x:c>
    </x:row>
    <x:row r="14" ht="15" hidden="0" customHeight="1">
      <x:c r="A14" s="408" t="str">
        <x:v>C10</x:v>
      </x:c>
      <x:c r="B14" s="408" t="str">
        <x:v>MSTR equity bridge</x:v>
      </x:c>
      <x:c r="C14" s="409" t="n">
        <x:f>'Stage 4 Model'!V5</x:f>
        <x:v>104654.59745399244</x:v>
      </x:c>
      <x:c r="D14" s="409" t="n">
        <x:f>('Stage 4 Model'!R5-'Stage 4 Model'!U5)*'Stage 4 Assumptions'!K12</x:f>
        <x:v>104654.59745399244</x:v>
      </x:c>
      <x:c r="E14" s="409" t="n">
        <x:f>C14-D14</x:f>
        <x:v>0</x:v>
      </x:c>
      <x:c r="F14" s="409" t="n">
        <x:v>0.1</x:v>
      </x:c>
      <x:c r="G14" s="410" t="str">
        <x:f>IF(ABS(E14)&lt;=F14,"OK","REVIEW")</x:f>
        <x:v>OK</x:v>
      </x:c>
      <x:c r="H14" s="408" t="str">
        <x:v>NAV × constant multiple</x:v>
      </x:c>
    </x:row>
    <x:row r="15">
      <x:c r="A15" s="411" t="str">
        <x:v>C11</x:v>
      </x:c>
      <x:c r="B15" s="411" t="str">
        <x:v>Notebook calculation checks</x:v>
      </x:c>
      <x:c r="C15" s="397" t="str">
        <x:v>PASSED</x:v>
      </x:c>
      <x:c r="D15" s="397" t="str">
        <x:v>PASSED</x:v>
      </x:c>
      <x:c r="E15" s="397"/>
      <x:c r="F15" s="397" t="n">
        <x:v>0</x:v>
      </x:c>
      <x:c r="G15" s="397" t="str">
        <x:f>IF(C15=D15,"OK","REVIEW")</x:f>
        <x:v>OK</x:v>
      </x:c>
      <x:c r="H15" s="411" t="str">
        <x:v>Six independent calculation checks passed</x:v>
      </x:c>
    </x:row>
    <x:row r="16">
      <x:c r="A16" s="412" t="str">
        <x:v>C12</x:v>
      </x:c>
      <x:c r="B16" s="412" t="str">
        <x:v>Stage 4 execution gate</x:v>
      </x:c>
      <x:c r="C16" s="400" t="str">
        <x:f>IF(COUNTIF(G5:G15,"REVIEW")=0,"STAGE 4 COMPLETE","REVIEW")</x:f>
        <x:v>STAGE 4 COMPLETE</x:v>
      </x:c>
      <x:c r="D16" s="400" t="str">
        <x:v>STAGE 4 COMPLETE</x:v>
      </x:c>
      <x:c r="E16" s="400"/>
      <x:c r="F16" s="400" t="n">
        <x:v>0</x:v>
      </x:c>
      <x:c r="G16" s="400" t="str">
        <x:f>IF(C16=D16,"OK","REVIEW")</x:f>
        <x:v>OK</x:v>
      </x:c>
      <x:c r="H16" s="412" t="str">
        <x:v>Stage 5 interpretation is next</x:v>
      </x:c>
    </x:row>
  </x:sheetData>
  <x:mergeCells>
    <x:mergeCell ref="A3:H3"/>
    <x:mergeCell ref="A1:H2"/>
  </x:mergeCells>
  <x:conditionalFormatting sqref="G5:G14">
    <x:cfRule type="containsText" dxfId="2" priority="1" operator="containsText" text="OK"/>
    <x:cfRule type="containsText" dxfId="3" priority="2" operator="containsText" text="REVIEW"/>
  </x:conditionalFormatting>
  <x:conditionalFormatting sqref="G5:G16">
    <x:cfRule type="containsText" dxfId="4" priority="3" operator="containsText" text="OK"/>
    <x:cfRule type="containsText" dxfId="5" priority="4" operator="containsText" text="REVIEW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34" hidden="0" customWidth="1"/>
    <x:col min="8" max="8" width="14" hidden="0" customWidth="1"/>
    <x:col min="9" max="9" width="25" hidden="0" customWidth="1"/>
    <x:col min="10" max="10" width="22" hidden="0" customWidth="1"/>
  </x:cols>
  <x:sheetData>
    <x:row r="1" ht="28" customHeight="1">
      <x:c r="A1" s="60" t="str">
        <x:v>Bitcoin Proxy Stocks — Stage 5 Structured Input</x:v>
      </x:c>
      <x:c r="B1" s="60" t="str">
        <x:v>Bitcoin Proxy Stocks — Stage 5 Structured Input</x:v>
      </x:c>
      <x:c r="C1" s="60" t="str">
        <x:v>Bitcoin Proxy Stocks — Stage 5 Structured Input</x:v>
      </x:c>
      <x:c r="D1" s="60" t="str">
        <x:v>Bitcoin Proxy Stocks — Stage 5 Structured Input</x:v>
      </x:c>
      <x:c r="E1" s="60" t="str">
        <x:v>Bitcoin Proxy Stocks — Stage 5 Structured Input</x:v>
      </x:c>
      <x:c r="F1" s="60" t="str">
        <x:v>Bitcoin Proxy Stocks — Stage 5 Structured Input</x:v>
      </x:c>
      <x:c r="G1" s="60" t="str">
        <x:v>Bitcoin Proxy Stocks — Stage 5 Structured Input</x:v>
      </x:c>
      <x:c r="H1" s="60" t="str">
        <x:v>Bitcoin Proxy Stocks — Stage 5 Structured Input</x:v>
      </x:c>
      <x:c r="I1" s="60" t="str">
        <x:v>Bitcoin Proxy Stocks — Stage 5 Structured Input</x:v>
      </x:c>
      <x:c r="J1" s="60" t="str">
        <x:v>Bitcoin Proxy Stocks — Stage 5 Structured Input</x:v>
      </x:c>
    </x:row>
    <x:row r="2" ht="28" customHeight="1">
      <x:c r="A2" s="60" t="str">
        <x:v>Bitcoin Proxy Stocks — Stage 5 Structured Input</x:v>
      </x:c>
      <x:c r="B2" s="60" t="str">
        <x:v>Bitcoin Proxy Stocks — Stage 5 Structured Input</x:v>
      </x:c>
      <x:c r="C2" s="60" t="str">
        <x:v>Bitcoin Proxy Stocks — Stage 5 Structured Input</x:v>
      </x:c>
      <x:c r="D2" s="60" t="str">
        <x:v>Bitcoin Proxy Stocks — Stage 5 Structured Input</x:v>
      </x:c>
      <x:c r="E2" s="60" t="str">
        <x:v>Bitcoin Proxy Stocks — Stage 5 Structured Input</x:v>
      </x:c>
      <x:c r="F2" s="60" t="str">
        <x:v>Bitcoin Proxy Stocks — Stage 5 Structured Input</x:v>
      </x:c>
      <x:c r="G2" s="60" t="str">
        <x:v>Bitcoin Proxy Stocks — Stage 5 Structured Input</x:v>
      </x:c>
      <x:c r="H2" s="60" t="str">
        <x:v>Bitcoin Proxy Stocks — Stage 5 Structured Input</x:v>
      </x:c>
      <x:c r="I2" s="60" t="str">
        <x:v>Bitcoin Proxy Stocks — Stage 5 Structured Input</x:v>
      </x:c>
      <x:c r="J2" s="60" t="str">
        <x:v>Bitcoin Proxy Stocks — Stage 5 Structured Input</x:v>
      </x:c>
    </x:row>
    <x:row r="3" ht="15" hidden="0" customHeight="1">
      <x:c r="A3" s="61" t="str">
        <x:v>Purpose: convert Stage 4 evidence into an auditable Stage 5 dataset. As of 2026-08-27. No final investment recommendation is made.</x:v>
      </x:c>
      <x:c r="B3" s="61" t="str">
        <x:v>Purpose: convert Stage 4 evidence into an auditable Stage 5 dataset. As of 2026-08-27. No final investment recommendation is made.</x:v>
      </x:c>
      <x:c r="C3" s="61" t="str">
        <x:v>Purpose: convert Stage 4 evidence into an auditable Stage 5 dataset. As of 2026-08-27. No final investment recommendation is made.</x:v>
      </x:c>
      <x:c r="D3" s="61" t="str">
        <x:v>Purpose: convert Stage 4 evidence into an auditable Stage 5 dataset. As of 2026-08-27. No final investment recommendation is made.</x:v>
      </x:c>
      <x:c r="E3" s="61" t="str">
        <x:v>Purpose: convert Stage 4 evidence into an auditable Stage 5 dataset. As of 2026-08-27. No final investment recommendation is made.</x:v>
      </x:c>
      <x:c r="F3" s="61" t="str">
        <x:v>Purpose: convert Stage 4 evidence into an auditable Stage 5 dataset. As of 2026-08-27. No final investment recommendation is made.</x:v>
      </x:c>
      <x:c r="G3" s="61" t="str">
        <x:v>Purpose: convert Stage 4 evidence into an auditable Stage 5 dataset. As of 2026-08-27. No final investment recommendation is made.</x:v>
      </x:c>
      <x:c r="H3" s="61" t="str">
        <x:v>Purpose: convert Stage 4 evidence into an auditable Stage 5 dataset. As of 2026-08-27. No final investment recommendation is made.</x:v>
      </x:c>
      <x:c r="I3" s="61" t="str">
        <x:v>Purpose: convert Stage 4 evidence into an auditable Stage 5 dataset. As of 2026-08-27. No final investment recommendation is made.</x:v>
      </x:c>
      <x:c r="J3" s="61" t="str">
        <x:v>Purpose: convert Stage 4 evidence into an auditable Stage 5 dataset. As of 2026-08-27. No final investment recommendation is made.</x:v>
      </x:c>
    </x:row>
    <x:row r="4" ht="15" hidden="0" customHeight="1">
      <x:c r="A4" s="62"/>
      <x:c r="B4" s="62"/>
      <x:c r="C4" s="62"/>
      <x:c r="D4" s="62"/>
      <x:c r="E4" s="62"/>
      <x:c r="F4" s="62"/>
      <x:c r="G4" s="62"/>
      <x:c r="H4" s="62"/>
      <x:c r="I4" s="62"/>
      <x:c r="J4" s="62"/>
    </x:row>
    <x:row r="5" ht="15" hidden="0" customHeight="1">
      <x:c r="A5" s="63" t="str">
        <x:v>Readiness Summary</x:v>
      </x:c>
      <x:c r="B5" s="63" t="str">
        <x:v>Readiness Summary</x:v>
      </x:c>
      <x:c r="C5" s="63" t="str">
        <x:v>Readiness Summary</x:v>
      </x:c>
      <x:c r="D5" s="63" t="str">
        <x:v>Readiness Summary</x:v>
      </x:c>
      <x:c r="E5" s="63" t="str">
        <x:v>Readiness Summary</x:v>
      </x:c>
      <x:c r="F5" s="63" t="str">
        <x:v>Readiness Summary</x:v>
      </x:c>
      <x:c r="G5" s="63" t="str">
        <x:v>Readiness Summary</x:v>
      </x:c>
      <x:c r="H5" s="63" t="str">
        <x:v>Readiness Summary</x:v>
      </x:c>
      <x:c r="I5" s="63" t="str">
        <x:v>Readiness Summary</x:v>
      </x:c>
      <x:c r="J5" s="63" t="str">
        <x:v>Readiness Summary</x:v>
      </x:c>
    </x:row>
    <x:row r="6" ht="30" hidden="0" customHeight="1">
      <x:c r="A6" s="200" t="str">
        <x:v>Model status</x:v>
      </x:c>
      <x:c r="B6" s="374" t="str">
        <x:v>STAGE 4 REBUILT — STAGE 5 INTERPRETATION PENDING</x:v>
      </x:c>
      <x:c r="C6" s="62"/>
      <x:c r="D6" s="200" t="str">
        <x:v>Rule</x:v>
      </x:c>
      <x:c r="E6" s="202" t="str">
        <x:v>Do not treat targets/probabilities as facts</x:v>
      </x:c>
      <x:c r="F6" s="202"/>
      <x:c r="G6" s="202"/>
      <x:c r="H6" s="202"/>
      <x:c r="I6" s="202"/>
      <x:c r="J6" s="202"/>
    </x:row>
    <x:row r="7" ht="15" hidden="0" customHeight="1">
      <x:c r="A7" s="200" t="str">
        <x:v>Companies</x:v>
      </x:c>
      <x:c r="B7" s="62" t="n">
        <x:v>6</x:v>
      </x:c>
      <x:c r="C7" s="62"/>
      <x:c r="D7" s="200" t="str">
        <x:v>Primary KPI</x:v>
      </x:c>
      <x:c r="E7" s="202" t="str">
        <x:v>Modeled stock return minus BTC return</x:v>
      </x:c>
      <x:c r="F7" s="202"/>
      <x:c r="G7" s="202"/>
      <x:c r="H7" s="202"/>
      <x:c r="I7" s="202"/>
      <x:c r="J7" s="202"/>
    </x:row>
    <x:row r="8" ht="15" hidden="0" customHeight="1">
      <x:c r="A8" s="200" t="str">
        <x:v>BTC anchor</x:v>
      </x:c>
      <x:c r="B8" s="203" t="n">
        <x:v>78511.23</x:v>
      </x:c>
      <x:c r="C8" s="62"/>
      <x:c r="D8" s="200" t="str">
        <x:v>Secondary KPI</x:v>
      </x:c>
      <x:c r="E8" s="202" t="str">
        <x:v>Probability of outperforming BTC—not yet estimated</x:v>
      </x:c>
      <x:c r="F8" s="202"/>
      <x:c r="G8" s="202"/>
      <x:c r="H8" s="202"/>
      <x:c r="I8" s="202"/>
      <x:c r="J8" s="202"/>
    </x:row>
    <x:row r="9" ht="15" hidden="0" customHeight="1">
      <x:c r="A9" s="200" t="str">
        <x:v>Critical gaps</x:v>
      </x:c>
      <x:c r="B9" s="204" t="n">
        <x:f>COUNTIFS('Data Gaps'!$E$5:$E$18,"Critical",'Data Gaps'!$F$5:$F$18,"&lt;&gt;Complete",'Data Gaps'!$F$5:$F$18,"&lt;&gt;Substantially complete")</x:f>
        <x:v>2</x:v>
      </x:c>
      <x:c r="C9" s="62"/>
      <x:c r="D9" s="200" t="str">
        <x:v>Main blocker</x:v>
      </x:c>
      <x:c r="E9" s="202" t="str">
        <x:v>Remaining source gaps are carried as explicit assumptions</x:v>
      </x:c>
      <x:c r="F9" s="202"/>
      <x:c r="G9" s="202"/>
      <x:c r="H9" s="202"/>
      <x:c r="I9" s="202"/>
      <x:c r="J9" s="202"/>
    </x:row>
    <x:row r="10" ht="15" hidden="0" customHeight="1">
      <x:c r="A10" s="200" t="str">
        <x:v>Denominator conflicts corrected</x:v>
      </x:c>
      <x:c r="B10" s="62" t="n">
        <x:v>2</x:v>
      </x:c>
      <x:c r="C10" s="62"/>
      <x:c r="D10" s="200" t="str">
        <x:v>Next action</x:v>
      </x:c>
      <x:c r="E10" s="202" t="str">
        <x:v>Interpret robustness, downside and recommendation in Stage 5</x:v>
      </x:c>
      <x:c r="F10" s="202"/>
      <x:c r="G10" s="202"/>
      <x:c r="H10" s="202"/>
      <x:c r="I10" s="202"/>
      <x:c r="J10" s="202"/>
    </x:row>
    <x:row r="11" ht="15" hidden="0" customHeight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</x:row>
    <x:row r="12" ht="15" hidden="0" customHeight="1">
      <x:c r="A12" s="63" t="str">
        <x:v>Company Evidence Readiness</x:v>
      </x:c>
      <x:c r="B12" s="63" t="str">
        <x:v>Company Evidence Readiness</x:v>
      </x:c>
      <x:c r="C12" s="63" t="str">
        <x:v>Company Evidence Readiness</x:v>
      </x:c>
      <x:c r="D12" s="63" t="str">
        <x:v>Company Evidence Readiness</x:v>
      </x:c>
      <x:c r="E12" s="63" t="str">
        <x:v>Company Evidence Readiness</x:v>
      </x:c>
      <x:c r="F12" s="63" t="str">
        <x:v>Company Evidence Readiness</x:v>
      </x:c>
      <x:c r="G12" s="63" t="str">
        <x:v>Company Evidence Readiness</x:v>
      </x:c>
      <x:c r="H12" s="63" t="str">
        <x:v>Company Evidence Readiness</x:v>
      </x:c>
      <x:c r="I12" s="63" t="str">
        <x:v>Company Evidence Readiness</x:v>
      </x:c>
      <x:c r="J12" s="63" t="str">
        <x:v>Company Evidence Readiness</x:v>
      </x:c>
    </x:row>
    <x:row r="13" ht="26.399999618530273" hidden="0" customHeight="1">
      <x:c r="A13" s="64" t="str">
        <x:v>Company</x:v>
      </x:c>
      <x:c r="B13" s="65" t="str">
        <x:v>Ticker</x:v>
      </x:c>
      <x:c r="C13" s="65" t="str">
        <x:v>Type</x:v>
      </x:c>
      <x:c r="D13" s="65" t="str">
        <x:v>Price (local)</x:v>
      </x:c>
      <x:c r="E13" s="65" t="str">
        <x:v>Gross sats/share</x:v>
      </x:c>
      <x:c r="F13" s="65" t="str">
        <x:v>Denominator</x:v>
      </x:c>
      <x:c r="G13" s="65" t="str">
        <x:v>Current valuation read</x:v>
      </x:c>
      <x:c r="H13" s="65" t="str">
        <x:v>Scenario status</x:v>
      </x:c>
      <x:c r="I13" s="65" t="str">
        <x:v>Largest gap</x:v>
      </x:c>
      <x:c r="J13" s="66" t="str">
        <x:v>Stage 5 usability</x:v>
      </x:c>
    </x:row>
    <x:row r="14" ht="15" hidden="0" customHeight="1">
      <x:c r="A14" s="67" t="str">
        <x:v>Strategy</x:v>
      </x:c>
      <x:c r="B14" s="67" t="str">
        <x:v>MSTR</x:v>
      </x:c>
      <x:c r="C14" s="67" t="str">
        <x:v>Treasury</x:v>
      </x:c>
      <x:c r="D14" s="127" t="n">
        <x:v>126.83</x:v>
      </x:c>
      <x:c r="E14" s="130" t="n">
        <x:f>'Company Metrics'!I5</x:f>
        <x:v>188627.54427584226</x:v>
      </x:c>
      <x:c r="F14" s="67" t="str">
        <x:v>Assumed diluted</x:v>
      </x:c>
      <x:c r="G14" s="67" t="str">
        <x:v>~1.12x simplified mNAV</x:v>
      </x:c>
      <x:c r="H14" s="375" t="str">
        <x:v>Rebuilt</x:v>
      </x:c>
      <x:c r="I14" s="67" t="str">
        <x:v>Scenario issuance/fixed charges</x:v>
      </x:c>
      <x:c r="J14" s="67" t="str">
        <x:v>Modeled; issuance-sensitive</x:v>
      </x:c>
    </x:row>
    <x:row r="15" ht="15" hidden="0" customHeight="1">
      <x:c r="A15" s="73" t="str">
        <x:v>Metaplanet</x:v>
      </x:c>
      <x:c r="B15" s="73" t="str">
        <x:v>3350.T</x:v>
      </x:c>
      <x:c r="C15" s="73" t="str">
        <x:v>Treasury + options</x:v>
      </x:c>
      <x:c r="D15" s="133" t="n">
        <x:v>330</x:v>
      </x:c>
      <x:c r="E15" s="136" t="n">
        <x:f>'Company Metrics'!I6</x:f>
        <x:v>2635.5399994679888</x:v>
      </x:c>
      <x:c r="F15" s="73" t="str">
        <x:v>Fully diluted</x:v>
      </x:c>
      <x:c r="G15" s="73" t="str">
        <x:v>~1.22x ex-cash diluted NAV</x:v>
      </x:c>
      <x:c r="H15" s="376" t="str">
        <x:v>Rebuilt</x:v>
      </x:c>
      <x:c r="I15" s="73" t="str">
        <x:v>Exact cash/full liability bridge</x:v>
      </x:c>
      <x:c r="J15" s="73" t="str">
        <x:v>Modeled with cash-gap caveat</x:v>
      </x:c>
    </x:row>
    <x:row r="16" ht="15" hidden="0" customHeight="1">
      <x:c r="A16" s="73" t="str">
        <x:v>American Bitcoin</x:v>
      </x:c>
      <x:c r="B16" s="73" t="str">
        <x:v>ABTC</x:v>
      </x:c>
      <x:c r="C16" s="73" t="str">
        <x:v>Miner + treasury</x:v>
      </x:c>
      <x:c r="D16" s="133" t="n">
        <x:v>9.24</x:v>
      </x:c>
      <x:c r="E16" s="136" t="n">
        <x:f>'Company Metrics'!I7</x:f>
        <x:v>10988.782666583704</x:v>
      </x:c>
      <x:c r="F16" s="73" t="str">
        <x:v>Outstanding/basic</x:v>
      </x:c>
      <x:c r="G16" s="73" t="str">
        <x:v>Operating leverage</x:v>
      </x:c>
      <x:c r="H16" s="376" t="str">
        <x:v>Rebuilt</x:v>
      </x:c>
      <x:c r="I16" s="73" t="str">
        <x:v>Scenario ATM take-up</x:v>
      </x:c>
      <x:c r="J16" s="73" t="str">
        <x:v>Modeled; ATM-sensitive</x:v>
      </x:c>
    </x:row>
    <x:row r="17" ht="15" hidden="0" customHeight="1">
      <x:c r="A17" s="73" t="str">
        <x:v>Twenty One Capital</x:v>
      </x:c>
      <x:c r="B17" s="73" t="str">
        <x:v>XXI</x:v>
      </x:c>
      <x:c r="C17" s="73" t="str">
        <x:v>Treasury</x:v>
      </x:c>
      <x:c r="D17" s="133" t="n">
        <x:v>6.51</x:v>
      </x:c>
      <x:c r="E17" s="136" t="n">
        <x:f>'Company Metrics'!I8</x:f>
        <x:v>12547.006002482596</x:v>
      </x:c>
      <x:c r="F17" s="73" t="str">
        <x:v>Economic Class A</x:v>
      </x:c>
      <x:c r="G17" s="73" t="str">
        <x:v>~0.74x basic / 0.85x known-diluted NAV</x:v>
      </x:c>
      <x:c r="H17" s="376" t="str">
        <x:v>Rebuilt</x:v>
      </x:c>
      <x:c r="I17" s="73" t="str">
        <x:v>RSUs/conversion mechanics</x:v>
      </x:c>
      <x:c r="J17" s="73" t="str">
        <x:v>Modeled; conversion-sensitive</x:v>
      </x:c>
    </x:row>
    <x:row r="18" ht="15" hidden="0" customHeight="1">
      <x:c r="A18" s="73" t="str">
        <x:v>CleanSpark</x:v>
      </x:c>
      <x:c r="B18" s="73" t="str">
        <x:v>CLSK</x:v>
      </x:c>
      <x:c r="C18" s="73" t="str">
        <x:v>Miner + HPC</x:v>
      </x:c>
      <x:c r="D18" s="133" t="n">
        <x:v>12.71</x:v>
      </x:c>
      <x:c r="E18" s="136" t="n">
        <x:f>'Company Metrics'!I9</x:f>
        <x:v>5424.922822090724</x:v>
      </x:c>
      <x:c r="F18" s="73" t="str">
        <x:v>Basic</x:v>
      </x:c>
      <x:c r="G18" s="73" t="str">
        <x:v>Mining + HPC option</x:v>
      </x:c>
      <x:c r="H18" s="376" t="str">
        <x:v>Rebuilt</x:v>
      </x:c>
      <x:c r="I18" s="73" t="str">
        <x:v>HPC funding/lease cash flows</x:v>
      </x:c>
      <x:c r="J18" s="73" t="str">
        <x:v>Modeled; HPC-sensitive</x:v>
      </x:c>
    </x:row>
    <x:row r="19" ht="15" hidden="0" customHeight="1">
      <x:c r="A19" s="79" t="str">
        <x:v>MARA</x:v>
      </x:c>
      <x:c r="B19" s="79" t="str">
        <x:v>MARA</x:v>
      </x:c>
      <x:c r="C19" s="79" t="str">
        <x:v>Miner + infrastructure</x:v>
      </x:c>
      <x:c r="D19" s="139" t="n">
        <x:v>11.83</x:v>
      </x:c>
      <x:c r="E19" s="142" t="n">
        <x:f>'Company Metrics'!I10</x:f>
        <x:v>9209.698354693097</x:v>
      </x:c>
      <x:c r="F19" s="79" t="str">
        <x:v>Basic</x:v>
      </x:c>
      <x:c r="G19" s="79" t="str">
        <x:v>High beta; weak BTC/share</x:v>
      </x:c>
      <x:c r="H19" s="377" t="str">
        <x:v>Rebuilt</x:v>
      </x:c>
      <x:c r="I19" s="79" t="str">
        <x:v>Post-quarter debt/acquisitions</x:v>
      </x:c>
      <x:c r="J19" s="79" t="str">
        <x:v>Modeled; financing-sensitive</x:v>
      </x:c>
    </x:row>
  </x:sheetData>
  <x:mergeCells>
    <x:mergeCell ref="A1:J2"/>
    <x:mergeCell ref="A3:J3"/>
    <x:mergeCell ref="A5:J5"/>
    <x:mergeCell ref="E6:J6"/>
    <x:mergeCell ref="E7:J7"/>
    <x:mergeCell ref="E8:J8"/>
    <x:mergeCell ref="E9:J9"/>
    <x:mergeCell ref="E10:J10"/>
    <x:mergeCell ref="A12:J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1" hidden="0" customWidth="1"/>
    <x:col min="4" max="4" width="18" hidden="0" customWidth="1"/>
    <x:col min="5" max="5" width="19" hidden="0" customWidth="1"/>
    <x:col min="6" max="6" width="15" hidden="0" customWidth="1"/>
    <x:col min="7" max="7" width="28" hidden="0" customWidth="1"/>
    <x:col min="8" max="8" width="22" hidden="0" customWidth="1"/>
    <x:col min="9" max="9" width="24" hidden="0" customWidth="1"/>
    <x:col min="10" max="10" width="48" hidden="0" customWidth="1"/>
  </x:cols>
  <x:sheetData>
    <x:row r="1" ht="28" customHeight="1">
      <x:c r="A1" s="208" t="str">
        <x:v>Stage 5 — External Source Data Refresh</x:v>
      </x:c>
      <x:c r="B1" s="208"/>
      <x:c r="C1" s="208"/>
      <x:c r="D1" s="208"/>
      <x:c r="E1" s="208"/>
      <x:c r="F1" s="208"/>
      <x:c r="G1" s="208"/>
      <x:c r="H1" s="208"/>
      <x:c r="I1" s="208"/>
      <x:c r="J1" s="208"/>
    </x:row>
    <x:row r="2" ht="30" customHeight="1">
      <x:c r="A2" s="211" t="str">
        <x:v>Values from SEC filings, company IR and market/FX sources. Blank means unavailable—not zero. Filing dates differ; roll forward before final valuation.</x:v>
      </x:c>
      <x:c r="B2" s="211"/>
      <x:c r="C2" s="211"/>
      <x:c r="D2" s="211"/>
      <x:c r="E2" s="211"/>
      <x:c r="F2" s="211"/>
      <x:c r="G2" s="211"/>
      <x:c r="H2" s="211"/>
      <x:c r="I2" s="211"/>
      <x:c r="J2" s="211"/>
    </x:row>
    <x:row r="4" ht="32" customHeight="1">
      <x:c r="A4" s="216" t="str">
        <x:v>Category</x:v>
      </x:c>
      <x:c r="B4" s="216" t="str">
        <x:v>Company / ticker</x:v>
      </x:c>
      <x:c r="C4" s="216" t="str">
        <x:v>Metric</x:v>
      </x:c>
      <x:c r="D4" s="216" t="str">
        <x:v>Value</x:v>
      </x:c>
      <x:c r="E4" s="216" t="str">
        <x:v>Unit</x:v>
      </x:c>
      <x:c r="F4" s="216" t="str">
        <x:v>As-of / period</x:v>
      </x:c>
      <x:c r="G4" s="216" t="str">
        <x:v>Evidence basis</x:v>
      </x:c>
      <x:c r="H4" s="216" t="str">
        <x:v>Coverage</x:v>
      </x:c>
      <x:c r="I4" s="216" t="str">
        <x:v>Source</x:v>
      </x:c>
      <x:c r="J4" s="216" t="str">
        <x:v>URL</x:v>
      </x:c>
    </x:row>
    <x:row r="5">
      <x:c r="A5" s="226" t="str">
        <x:v>Market</x:v>
      </x:c>
      <x:c r="B5" s="227" t="str">
        <x:v>BTC</x:v>
      </x:c>
      <x:c r="C5" s="222" t="str">
        <x:v>BTC close</x:v>
      </x:c>
      <x:c r="D5" s="232" t="n">
        <x:v>78511.23</x:v>
      </x:c>
      <x:c r="E5" s="222" t="str">
        <x:v>USD</x:v>
      </x:c>
      <x:c r="F5" s="222" t="str">
        <x:v>2026-08-25</x:v>
      </x:c>
      <x:c r="G5" s="222" t="str">
        <x:v>Observed</x:v>
      </x:c>
      <x:c r="H5" s="222" t="str">
        <x:v>Complete</x:v>
      </x:c>
      <x:c r="I5" s="222" t="str">
        <x:v>Token Terminal</x:v>
      </x:c>
      <x:c r="J5" s="230" t="str">
        <x:v>https://tokenterminal.com</x:v>
      </x:c>
    </x:row>
    <x:row r="6">
      <x:c r="A6" s="226" t="str">
        <x:v>Market</x:v>
      </x:c>
      <x:c r="B6" s="227" t="str">
        <x:v>MSTR</x:v>
      </x:c>
      <x:c r="C6" s="222" t="str">
        <x:v>Stock close</x:v>
      </x:c>
      <x:c r="D6" s="232" t="n">
        <x:v>126.83</x:v>
      </x:c>
      <x:c r="E6" s="222" t="str">
        <x:v>USD/share</x:v>
      </x:c>
      <x:c r="F6" s="222" t="str">
        <x:v>2026-08-25</x:v>
      </x:c>
      <x:c r="G6" s="222" t="str">
        <x:v>Observed</x:v>
      </x:c>
      <x:c r="H6" s="222" t="str">
        <x:v>Complete</x:v>
      </x:c>
      <x:c r="I6" s="222" t="str">
        <x:v>Market history page</x:v>
      </x:c>
      <x:c r="J6" s="230" t="str">
        <x:v>https://www.benzinga.com/quote/MSTR/historical</x:v>
      </x:c>
    </x:row>
    <x:row r="7">
      <x:c r="A7" s="226" t="str">
        <x:v>Market</x:v>
      </x:c>
      <x:c r="B7" s="227" t="str">
        <x:v>3350.T</x:v>
      </x:c>
      <x:c r="C7" s="222" t="str">
        <x:v>Stock close</x:v>
      </x:c>
      <x:c r="D7" s="232" t="n">
        <x:v>330</x:v>
      </x:c>
      <x:c r="E7" s="222" t="str">
        <x:v>JPY/share</x:v>
      </x:c>
      <x:c r="F7" s="222" t="str">
        <x:v>2026-08-25</x:v>
      </x:c>
      <x:c r="G7" s="222" t="str">
        <x:v>Observed</x:v>
      </x:c>
      <x:c r="H7" s="222" t="str">
        <x:v>Complete</x:v>
      </x:c>
      <x:c r="I7" s="222" t="str">
        <x:v>Minkabu historical price</x:v>
      </x:c>
      <x:c r="J7" s="230" t="str">
        <x:v>https://minkabu.jp/stock/3350/daily_bar</x:v>
      </x:c>
    </x:row>
    <x:row r="8">
      <x:c r="A8" s="226" t="str">
        <x:v>Market</x:v>
      </x:c>
      <x:c r="B8" s="227" t="str">
        <x:v>ABTC</x:v>
      </x:c>
      <x:c r="C8" s="222" t="str">
        <x:v>Stock close</x:v>
      </x:c>
      <x:c r="D8" s="232" t="n">
        <x:v>9.24</x:v>
      </x:c>
      <x:c r="E8" s="222" t="str">
        <x:v>USD/share</x:v>
      </x:c>
      <x:c r="F8" s="222" t="str">
        <x:v>2026-08-25</x:v>
      </x:c>
      <x:c r="G8" s="222" t="str">
        <x:v>Observed</x:v>
      </x:c>
      <x:c r="H8" s="222" t="str">
        <x:v>Complete</x:v>
      </x:c>
      <x:c r="I8" s="222" t="str">
        <x:v>Market history page</x:v>
      </x:c>
      <x:c r="J8" s="230" t="str">
        <x:v>https://www.investing.com/equities/gryphon-digital-mining-historical-data</x:v>
      </x:c>
    </x:row>
    <x:row r="9">
      <x:c r="A9" s="226" t="str">
        <x:v>Market</x:v>
      </x:c>
      <x:c r="B9" s="227" t="str">
        <x:v>XXI</x:v>
      </x:c>
      <x:c r="C9" s="222" t="str">
        <x:v>Stock close</x:v>
      </x:c>
      <x:c r="D9" s="232" t="n">
        <x:v>6.51</x:v>
      </x:c>
      <x:c r="E9" s="222" t="str">
        <x:v>USD/share</x:v>
      </x:c>
      <x:c r="F9" s="222" t="str">
        <x:v>2026-08-25</x:v>
      </x:c>
      <x:c r="G9" s="222" t="str">
        <x:v>Observed</x:v>
      </x:c>
      <x:c r="H9" s="222" t="str">
        <x:v>Complete</x:v>
      </x:c>
      <x:c r="I9" s="222" t="str">
        <x:v>Market history page</x:v>
      </x:c>
      <x:c r="J9" s="230" t="str">
        <x:v>https://www.investing.com/equities/cantor-equity-partners-historical-data</x:v>
      </x:c>
    </x:row>
    <x:row r="10">
      <x:c r="A10" s="226" t="str">
        <x:v>Market</x:v>
      </x:c>
      <x:c r="B10" s="227" t="str">
        <x:v>CLSK</x:v>
      </x:c>
      <x:c r="C10" s="222" t="str">
        <x:v>Stock close</x:v>
      </x:c>
      <x:c r="D10" s="232" t="n">
        <x:v>12.71</x:v>
      </x:c>
      <x:c r="E10" s="222" t="str">
        <x:v>USD/share</x:v>
      </x:c>
      <x:c r="F10" s="222" t="str">
        <x:v>2026-08-25</x:v>
      </x:c>
      <x:c r="G10" s="222" t="str">
        <x:v>Observed</x:v>
      </x:c>
      <x:c r="H10" s="222" t="str">
        <x:v>Complete</x:v>
      </x:c>
      <x:c r="I10" s="222" t="str">
        <x:v>Market history page</x:v>
      </x:c>
      <x:c r="J10" s="230" t="str">
        <x:v>https://www.investing.com/equities/cleanspark-historical-data</x:v>
      </x:c>
    </x:row>
    <x:row r="11">
      <x:c r="A11" s="226" t="str">
        <x:v>Market</x:v>
      </x:c>
      <x:c r="B11" s="227" t="str">
        <x:v>MARA</x:v>
      </x:c>
      <x:c r="C11" s="222" t="str">
        <x:v>Stock close</x:v>
      </x:c>
      <x:c r="D11" s="232" t="n">
        <x:v>11.83</x:v>
      </x:c>
      <x:c r="E11" s="222" t="str">
        <x:v>USD/share</x:v>
      </x:c>
      <x:c r="F11" s="222" t="str">
        <x:v>2026-08-25</x:v>
      </x:c>
      <x:c r="G11" s="222" t="str">
        <x:v>Observed</x:v>
      </x:c>
      <x:c r="H11" s="222" t="str">
        <x:v>Complete</x:v>
      </x:c>
      <x:c r="I11" s="222" t="str">
        <x:v>Market history page</x:v>
      </x:c>
      <x:c r="J11" s="230" t="str">
        <x:v>https://www.investing.com/equities/marathon-patent-group-historical-data</x:v>
      </x:c>
    </x:row>
    <x:row r="12">
      <x:c r="A12" s="226" t="str">
        <x:v>Market</x:v>
      </x:c>
      <x:c r="B12" s="227" t="str">
        <x:v>USDJPY</x:v>
      </x:c>
      <x:c r="C12" s="222" t="str">
        <x:v>FX close</x:v>
      </x:c>
      <x:c r="D12" s="232" t="n">
        <x:v>159.22</x:v>
      </x:c>
      <x:c r="E12" s="222" t="str">
        <x:v>JPY per USD</x:v>
      </x:c>
      <x:c r="F12" s="222" t="str">
        <x:v>2026-08-25</x:v>
      </x:c>
      <x:c r="G12" s="222" t="str">
        <x:v>Observed</x:v>
      </x:c>
      <x:c r="H12" s="222" t="str">
        <x:v>Complete</x:v>
      </x:c>
      <x:c r="I12" s="222" t="str">
        <x:v>FX history page</x:v>
      </x:c>
      <x:c r="J12" s="230" t="str">
        <x:v>https://www.investing.com/currencies/usd-jpy-historical-data</x:v>
      </x:c>
    </x:row>
    <x:row r="13">
      <x:c r="A13" s="226" t="str">
        <x:v>Capital stack</x:v>
      </x:c>
      <x:c r="B13" s="227" t="str">
        <x:v>MSTR</x:v>
      </x:c>
      <x:c r="C13" s="222" t="str">
        <x:v>BTC held</x:v>
      </x:c>
      <x:c r="D13" s="232" t="n">
        <x:v>840447</x:v>
      </x:c>
      <x:c r="E13" s="222" t="str">
        <x:v>BTC</x:v>
      </x:c>
      <x:c r="F13" s="222" t="str">
        <x:v>2026-08-09</x:v>
      </x:c>
      <x:c r="G13" s="222" t="str">
        <x:v>Reported</x:v>
      </x:c>
      <x:c r="H13" s="222" t="str">
        <x:v>Complete</x:v>
      </x:c>
      <x:c r="I13" s="222" t="str">
        <x:v>Strategy investor briefing</x:v>
      </x:c>
      <x:c r="J13" s="230" t="str">
        <x:v>https://www.sec.gov/Archives/edgar/data/1050446/000119312526301181/d63058dfwp.htm</x:v>
      </x:c>
    </x:row>
    <x:row r="14">
      <x:c r="A14" s="226" t="str">
        <x:v>Capital stack</x:v>
      </x:c>
      <x:c r="B14" s="227" t="str">
        <x:v>MSTR</x:v>
      </x:c>
      <x:c r="C14" s="222" t="str">
        <x:v>Assumed diluted shares</x:v>
      </x:c>
      <x:c r="D14" s="232" t="n">
        <x:v>445.559</x:v>
      </x:c>
      <x:c r="E14" s="222" t="str">
        <x:v>million shares</x:v>
      </x:c>
      <x:c r="F14" s="222" t="str">
        <x:v>2026-08</x:v>
      </x:c>
      <x:c r="G14" s="222" t="str">
        <x:v>Reported definition/current ADSO</x:v>
      </x:c>
      <x:c r="H14" s="222" t="str">
        <x:v>Substantially complete</x:v>
      </x:c>
      <x:c r="I14" s="222" t="str">
        <x:v>Strategy IR</x:v>
      </x:c>
      <x:c r="J14" s="230" t="str">
        <x:v>https://www.strategy.com</x:v>
      </x:c>
    </x:row>
    <x:row r="15">
      <x:c r="A15" s="226" t="str">
        <x:v>Capital stack</x:v>
      </x:c>
      <x:c r="B15" s="227" t="str">
        <x:v>MSTR</x:v>
      </x:c>
      <x:c r="C15" s="222" t="str">
        <x:v>USD liquidity</x:v>
      </x:c>
      <x:c r="D15" s="232" t="n">
        <x:v>6690</x:v>
      </x:c>
      <x:c r="E15" s="222" t="str">
        <x:v>USD million</x:v>
      </x:c>
      <x:c r="F15" s="222" t="str">
        <x:v>2026-08</x:v>
      </x:c>
      <x:c r="G15" s="222" t="str">
        <x:v>Reported/post-period update</x:v>
      </x:c>
      <x:c r="H15" s="222" t="str">
        <x:v>Substantially complete</x:v>
      </x:c>
      <x:c r="I15" s="222" t="str">
        <x:v>Strategy IR / 8-K</x:v>
      </x:c>
      <x:c r="J15" s="230" t="str">
        <x:v>https://www.strategy.com/investor-relations</x:v>
      </x:c>
    </x:row>
    <x:row r="16">
      <x:c r="A16" s="226" t="str">
        <x:v>Capital stack</x:v>
      </x:c>
      <x:c r="B16" s="227" t="str">
        <x:v>MSTR</x:v>
      </x:c>
      <x:c r="C16" s="222" t="str">
        <x:v>Debt principal</x:v>
      </x:c>
      <x:c r="D16" s="232" t="n">
        <x:v>6754</x:v>
      </x:c>
      <x:c r="E16" s="222" t="str">
        <x:v>USD million</x:v>
      </x:c>
      <x:c r="F16" s="222" t="str">
        <x:v>2026-08-09</x:v>
      </x:c>
      <x:c r="G16" s="222" t="str">
        <x:v>Reported</x:v>
      </x:c>
      <x:c r="H16" s="222" t="str">
        <x:v>Complete</x:v>
      </x:c>
      <x:c r="I16" s="222" t="str">
        <x:v>Strategy investor briefing</x:v>
      </x:c>
      <x:c r="J16" s="230" t="str">
        <x:v>https://www.sec.gov/Archives/edgar/data/1050446/000119312526301181/d63058dfwp.htm</x:v>
      </x:c>
    </x:row>
    <x:row r="17">
      <x:c r="A17" s="226" t="str">
        <x:v>Capital stack</x:v>
      </x:c>
      <x:c r="B17" s="227" t="str">
        <x:v>MSTR</x:v>
      </x:c>
      <x:c r="C17" s="222" t="str">
        <x:v>Preferred notional</x:v>
      </x:c>
      <x:c r="D17" s="232" t="n">
        <x:v>15239</x:v>
      </x:c>
      <x:c r="E17" s="222" t="str">
        <x:v>USD million</x:v>
      </x:c>
      <x:c r="F17" s="222" t="str">
        <x:v>2026-08-09</x:v>
      </x:c>
      <x:c r="G17" s="222" t="str">
        <x:v>Reported</x:v>
      </x:c>
      <x:c r="H17" s="222" t="str">
        <x:v>Complete</x:v>
      </x:c>
      <x:c r="I17" s="222" t="str">
        <x:v>Strategy investor briefing</x:v>
      </x:c>
      <x:c r="J17" s="230" t="str">
        <x:v>https://www.sec.gov/Archives/edgar/data/1050446/000119312526301181/d63058dfwp.htm</x:v>
      </x:c>
    </x:row>
    <x:row r="18">
      <x:c r="A18" s="226" t="str">
        <x:v>Capital stack</x:v>
      </x:c>
      <x:c r="B18" s="227" t="str">
        <x:v>MSTR</x:v>
      </x:c>
      <x:c r="C18" s="222" t="str">
        <x:v>Annual interest + preferred dividends</x:v>
      </x:c>
      <x:c r="D18" s="232" t="n">
        <x:v>1736</x:v>
      </x:c>
      <x:c r="E18" s="222" t="str">
        <x:v>USD million/year</x:v>
      </x:c>
      <x:c r="F18" s="222" t="str">
        <x:v>2026-08-09</x:v>
      </x:c>
      <x:c r="G18" s="222" t="str">
        <x:v>Reported</x:v>
      </x:c>
      <x:c r="H18" s="222" t="str">
        <x:v>Complete</x:v>
      </x:c>
      <x:c r="I18" s="222" t="str">
        <x:v>Strategy investor briefing</x:v>
      </x:c>
      <x:c r="J18" s="230" t="str">
        <x:v>https://www.sec.gov/Archives/edgar/data/1050446/000119312526301181/d63058dfwp.htm</x:v>
      </x:c>
    </x:row>
    <x:row r="19">
      <x:c r="A19" s="226" t="str">
        <x:v>Guidance</x:v>
      </x:c>
      <x:c r="B19" s="227" t="str">
        <x:v>MSTR</x:v>
      </x:c>
      <x:c r="C19" s="222" t="str">
        <x:v>Digital-credit sales target</x:v>
      </x:c>
      <x:c r="D19" s="232" t="str">
        <x:v>10%–20% of BTC reserve annually</x:v>
      </x:c>
      <x:c r="E19" s="222" t="str">
        <x:v>Policy</x:v>
      </x:c>
      <x:c r="F19" s="222" t="str">
        <x:v>2026-08</x:v>
      </x:c>
      <x:c r="G19" s="222" t="str">
        <x:v>Management target</x:v>
      </x:c>
      <x:c r="H19" s="222" t="str">
        <x:v>Partial</x:v>
      </x:c>
      <x:c r="I19" s="222" t="str">
        <x:v>Strategy investor briefing</x:v>
      </x:c>
      <x:c r="J19" s="230" t="str">
        <x:v>https://www.sec.gov/Archives/edgar/data/1050446/000119312526301181/d63058dfwp.htm</x:v>
      </x:c>
    </x:row>
    <x:row r="20">
      <x:c r="A20" s="226" t="str">
        <x:v>Capital stack</x:v>
      </x:c>
      <x:c r="B20" s="227" t="str">
        <x:v>3350.T</x:v>
      </x:c>
      <x:c r="C20" s="222" t="str">
        <x:v>BTC held</x:v>
      </x:c>
      <x:c r="D20" s="232" t="n">
        <x:v>43000</x:v>
      </x:c>
      <x:c r="E20" s="222" t="str">
        <x:v>BTC</x:v>
      </x:c>
      <x:c r="F20" s="222" t="str">
        <x:v>2026-08</x:v>
      </x:c>
      <x:c r="G20" s="222" t="str">
        <x:v>Reported</x:v>
      </x:c>
      <x:c r="H20" s="222" t="str">
        <x:v>Complete</x:v>
      </x:c>
      <x:c r="I20" s="222" t="str">
        <x:v>Metaplanet Q2 materials</x:v>
      </x:c>
      <x:c r="J20" s="230" t="str">
        <x:v>https://metaplanet.jp/en/disclosures</x:v>
      </x:c>
    </x:row>
    <x:row r="21">
      <x:c r="A21" s="226" t="str">
        <x:v>Capital stack</x:v>
      </x:c>
      <x:c r="B21" s="227" t="str">
        <x:v>3350.T</x:v>
      </x:c>
      <x:c r="C21" s="222" t="str">
        <x:v>Implied fully diluted shares</x:v>
      </x:c>
      <x:c r="D21" s="232" t="n">
        <x:v>1631.5442</x:v>
      </x:c>
      <x:c r="E21" s="222" t="str">
        <x:v>million shares</x:v>
      </x:c>
      <x:c r="F21" s="222" t="str">
        <x:v>2026-08</x:v>
      </x:c>
      <x:c r="G21" s="222" t="str">
        <x:v>Derived from reported BTC/share</x:v>
      </x:c>
      <x:c r="H21" s="222" t="str">
        <x:v>Partial</x:v>
      </x:c>
      <x:c r="I21" s="222" t="str">
        <x:v>Metaplanet Q2 materials</x:v>
      </x:c>
      <x:c r="J21" s="230" t="str">
        <x:v>https://metaplanet.jp/en/presentations</x:v>
      </x:c>
    </x:row>
    <x:row r="22">
      <x:c r="A22" s="226" t="str">
        <x:v>Capital stack</x:v>
      </x:c>
      <x:c r="B22" s="227" t="str">
        <x:v>3350.T</x:v>
      </x:c>
      <x:c r="C22" s="222" t="str">
        <x:v>Debt outstanding</x:v>
      </x:c>
      <x:c r="D22" s="232" t="n">
        <x:v>464.07</x:v>
      </x:c>
      <x:c r="E22" s="222" t="str">
        <x:v>USD million</x:v>
      </x:c>
      <x:c r="F22" s="222" t="str">
        <x:v>2026-08-27</x:v>
      </x:c>
      <x:c r="G22" s="222" t="str">
        <x:v>Tracker value</x:v>
      </x:c>
      <x:c r="H22" s="222" t="str">
        <x:v>Complete</x:v>
      </x:c>
      <x:c r="I22" s="222" t="str">
        <x:v>Metaplanet strategy tracker</x:v>
      </x:c>
      <x:c r="J22" s="230" t="str">
        <x:v>https://analytics.metaplanet.jp/?tab=credit</x:v>
      </x:c>
    </x:row>
    <x:row r="23">
      <x:c r="A23" s="226" t="str">
        <x:v>Capital stack</x:v>
      </x:c>
      <x:c r="B23" s="227" t="str">
        <x:v>3350.T</x:v>
      </x:c>
      <x:c r="C23" s="222" t="str">
        <x:v>Preferred outstanding</x:v>
      </x:c>
      <x:c r="D23" s="232" t="n">
        <x:v>148.14</x:v>
      </x:c>
      <x:c r="E23" s="222" t="str">
        <x:v>USD million</x:v>
      </x:c>
      <x:c r="F23" s="222" t="str">
        <x:v>2026-08-27</x:v>
      </x:c>
      <x:c r="G23" s="222" t="str">
        <x:v>Tracker value</x:v>
      </x:c>
      <x:c r="H23" s="222" t="str">
        <x:v>Complete</x:v>
      </x:c>
      <x:c r="I23" s="222" t="str">
        <x:v>Metaplanet strategy tracker</x:v>
      </x:c>
      <x:c r="J23" s="230" t="str">
        <x:v>https://analytics.metaplanet.jp/?tab=credit</x:v>
      </x:c>
    </x:row>
    <x:row r="24">
      <x:c r="A24" s="226" t="str">
        <x:v>Capital stack</x:v>
      </x:c>
      <x:c r="B24" s="227" t="str">
        <x:v>3350.T</x:v>
      </x:c>
      <x:c r="C24" s="222" t="str">
        <x:v>Cash</x:v>
      </x:c>
      <x:c r="D24" s="232"/>
      <x:c r="E24" s="222" t="str">
        <x:v>JPY million</x:v>
      </x:c>
      <x:c r="F24" s="222" t="str">
        <x:v>2026-06-30</x:v>
      </x:c>
      <x:c r="G24" s="222" t="str">
        <x:v>Not extracted</x:v>
      </x:c>
      <x:c r="H24" s="222" t="str">
        <x:v>Missing</x:v>
      </x:c>
      <x:c r="I24" s="222" t="str">
        <x:v>Metaplanet interim results</x:v>
      </x:c>
      <x:c r="J24" s="230" t="str">
        <x:v>https://metaplanet.jp/en/disclosures</x:v>
      </x:c>
    </x:row>
    <x:row r="25">
      <x:c r="A25" s="226" t="str">
        <x:v>Guidance</x:v>
      </x:c>
      <x:c r="B25" s="227" t="str">
        <x:v>3350.T</x:v>
      </x:c>
      <x:c r="C25" s="222" t="str">
        <x:v>Plan materials available</x:v>
      </x:c>
      <x:c r="D25" s="232" t="str">
        <x:v>2025–2027 Bitcoin Plan</x:v>
      </x:c>
      <x:c r="E25" s="222" t="str">
        <x:v>Plan</x:v>
      </x:c>
      <x:c r="F25" s="222" t="str">
        <x:v>2025-06-06</x:v>
      </x:c>
      <x:c r="G25" s="222" t="str">
        <x:v>Management plan</x:v>
      </x:c>
      <x:c r="H25" s="222" t="str">
        <x:v>Partial</x:v>
      </x:c>
      <x:c r="I25" s="222" t="str">
        <x:v>Metaplanet presentations</x:v>
      </x:c>
      <x:c r="J25" s="230" t="str">
        <x:v>https://metaplanet.jp/en/presentations</x:v>
      </x:c>
    </x:row>
    <x:row r="26">
      <x:c r="A26" s="226" t="str">
        <x:v>Capital stack</x:v>
      </x:c>
      <x:c r="B26" s="227" t="str">
        <x:v>ABTC</x:v>
      </x:c>
      <x:c r="C26" s="222" t="str">
        <x:v>BTC held</x:v>
      </x:c>
      <x:c r="D26" s="232" t="n">
        <x:v>8002</x:v>
      </x:c>
      <x:c r="E26" s="222" t="str">
        <x:v>BTC</x:v>
      </x:c>
      <x:c r="F26" s="222" t="str">
        <x:v>2026-06-30</x:v>
      </x:c>
      <x:c r="G26" s="222" t="str">
        <x:v>Reported</x:v>
      </x:c>
      <x:c r="H26" s="222" t="str">
        <x:v>Complete</x:v>
      </x:c>
      <x:c r="I26" s="222" t="str">
        <x:v>ABTC 10-Q</x:v>
      </x:c>
      <x:c r="J26" s="230" t="str">
        <x:v>https://www.sec.gov/Archives/edgar/data/1755953/000119312526329472/abtc-20260630.htm</x:v>
      </x:c>
    </x:row>
    <x:row r="27">
      <x:c r="A27" s="226" t="str">
        <x:v>Capital stack</x:v>
      </x:c>
      <x:c r="B27" s="227" t="str">
        <x:v>ABTC</x:v>
      </x:c>
      <x:c r="C27" s="222" t="str">
        <x:v>Cash</x:v>
      </x:c>
      <x:c r="D27" s="232" t="n">
        <x:v>18.354</x:v>
      </x:c>
      <x:c r="E27" s="222" t="str">
        <x:v>USD million</x:v>
      </x:c>
      <x:c r="F27" s="222" t="str">
        <x:v>2026-06-30</x:v>
      </x:c>
      <x:c r="G27" s="222" t="str">
        <x:v>Reported</x:v>
      </x:c>
      <x:c r="H27" s="222" t="str">
        <x:v>Complete</x:v>
      </x:c>
      <x:c r="I27" s="222" t="str">
        <x:v>ABTC 10-Q</x:v>
      </x:c>
      <x:c r="J27" s="230" t="str">
        <x:v>https://www.sec.gov/Archives/edgar/data/1755953/000119312526329472/abtc-20260630.htm</x:v>
      </x:c>
    </x:row>
    <x:row r="28">
      <x:c r="A28" s="226" t="str">
        <x:v>Capital stack</x:v>
      </x:c>
      <x:c r="B28" s="227" t="str">
        <x:v>ABTC</x:v>
      </x:c>
      <x:c r="C28" s="222" t="str">
        <x:v>Total liabilities</x:v>
      </x:c>
      <x:c r="D28" s="232" t="n">
        <x:v>637.351</x:v>
      </x:c>
      <x:c r="E28" s="222" t="str">
        <x:v>USD million</x:v>
      </x:c>
      <x:c r="F28" s="222" t="str">
        <x:v>2026-06-30</x:v>
      </x:c>
      <x:c r="G28" s="222" t="str">
        <x:v>Reported</x:v>
      </x:c>
      <x:c r="H28" s="222" t="str">
        <x:v>Complete</x:v>
      </x:c>
      <x:c r="I28" s="222" t="str">
        <x:v>ABTC 10-Q</x:v>
      </x:c>
      <x:c r="J28" s="230" t="str">
        <x:v>https://www.sec.gov/Archives/edgar/data/1755953/000119312526329472/abtc-20260630.htm</x:v>
      </x:c>
    </x:row>
    <x:row r="29">
      <x:c r="A29" s="226" t="str">
        <x:v>Capital stack</x:v>
      </x:c>
      <x:c r="B29" s="227" t="str">
        <x:v>ABTC</x:v>
      </x:c>
      <x:c r="C29" s="222" t="str">
        <x:v>Miner purchase liability</x:v>
      </x:c>
      <x:c r="D29" s="232" t="n">
        <x:v>371.687</x:v>
      </x:c>
      <x:c r="E29" s="222" t="str">
        <x:v>USD million</x:v>
      </x:c>
      <x:c r="F29" s="222" t="str">
        <x:v>2026-06-30</x:v>
      </x:c>
      <x:c r="G29" s="222" t="str">
        <x:v>Reported</x:v>
      </x:c>
      <x:c r="H29" s="222" t="str">
        <x:v>Complete</x:v>
      </x:c>
      <x:c r="I29" s="222" t="str">
        <x:v>ABTC 10-Q</x:v>
      </x:c>
      <x:c r="J29" s="230" t="str">
        <x:v>https://www.sec.gov/Archives/edgar/data/1755953/000119312526329472/abtc-20260630.htm</x:v>
      </x:c>
    </x:row>
    <x:row r="30">
      <x:c r="A30" s="226" t="str">
        <x:v>Capital stack</x:v>
      </x:c>
      <x:c r="B30" s="227" t="str">
        <x:v>ABTC</x:v>
      </x:c>
      <x:c r="C30" s="222" t="str">
        <x:v>BTC pledged</x:v>
      </x:c>
      <x:c r="D30" s="232" t="n">
        <x:v>3090</x:v>
      </x:c>
      <x:c r="E30" s="222" t="str">
        <x:v>BTC</x:v>
      </x:c>
      <x:c r="F30" s="222" t="str">
        <x:v>2026-06-30</x:v>
      </x:c>
      <x:c r="G30" s="222" t="str">
        <x:v>Reported</x:v>
      </x:c>
      <x:c r="H30" s="222" t="str">
        <x:v>Complete</x:v>
      </x:c>
      <x:c r="I30" s="222" t="str">
        <x:v>ABTC 10-Q</x:v>
      </x:c>
      <x:c r="J30" s="230" t="str">
        <x:v>https://www.sec.gov/Archives/edgar/data/1755953/000119312526329472/abtc-20260630.htm</x:v>
      </x:c>
    </x:row>
    <x:row r="31">
      <x:c r="A31" s="226" t="str">
        <x:v>Dilution</x:v>
      </x:c>
      <x:c r="B31" s="227" t="str">
        <x:v>ABTC</x:v>
      </x:c>
      <x:c r="C31" s="222" t="str">
        <x:v>Common shares outstanding</x:v>
      </x:c>
      <x:c r="D31" s="232" t="n">
        <x:v>72.819713</x:v>
      </x:c>
      <x:c r="E31" s="222" t="str">
        <x:v>million shares</x:v>
      </x:c>
      <x:c r="F31" s="222" t="str">
        <x:v>2026-07-30</x:v>
      </x:c>
      <x:c r="G31" s="222" t="str">
        <x:v>Reported</x:v>
      </x:c>
      <x:c r="H31" s="222" t="str">
        <x:v>Complete</x:v>
      </x:c>
      <x:c r="I31" s="222" t="str">
        <x:v>ABTC 10-Q</x:v>
      </x:c>
      <x:c r="J31" s="230" t="str">
        <x:v>https://www.sec.gov/Archives/edgar/data/1755953/000119312526329472/abtc-20260630.htm</x:v>
      </x:c>
    </x:row>
    <x:row r="32">
      <x:c r="A32" s="226" t="str">
        <x:v>Dilution</x:v>
      </x:c>
      <x:c r="B32" s="227" t="str">
        <x:v>ABTC</x:v>
      </x:c>
      <x:c r="C32" s="222" t="str">
        <x:v>Incremental warrants</x:v>
      </x:c>
      <x:c r="D32" s="232" t="n">
        <x:v>0.005364</x:v>
      </x:c>
      <x:c r="E32" s="222" t="str">
        <x:v>million shares</x:v>
      </x:c>
      <x:c r="F32" s="222" t="str">
        <x:v>2026-Q2</x:v>
      </x:c>
      <x:c r="G32" s="222" t="str">
        <x:v>Reported EPS dilution</x:v>
      </x:c>
      <x:c r="H32" s="222" t="str">
        <x:v>Complete</x:v>
      </x:c>
      <x:c r="I32" s="222" t="str">
        <x:v>ABTC 10-Q</x:v>
      </x:c>
      <x:c r="J32" s="230" t="str">
        <x:v>https://www.sec.gov/Archives/edgar/data/1755953/000119312526329472/abtc-20260630.htm</x:v>
      </x:c>
    </x:row>
    <x:row r="33">
      <x:c r="A33" s="226" t="str">
        <x:v>ATM</x:v>
      </x:c>
      <x:c r="B33" s="227" t="str">
        <x:v>ABTC</x:v>
      </x:c>
      <x:c r="C33" s="222" t="str">
        <x:v>Authorized capacity</x:v>
      </x:c>
      <x:c r="D33" s="232" t="n">
        <x:v>2100</x:v>
      </x:c>
      <x:c r="E33" s="222" t="str">
        <x:v>USD million gross</x:v>
      </x:c>
      <x:c r="F33" s="222" t="str">
        <x:v>2026-06-30</x:v>
      </x:c>
      <x:c r="G33" s="222" t="str">
        <x:v>Reported</x:v>
      </x:c>
      <x:c r="H33" s="222" t="str">
        <x:v>Complete</x:v>
      </x:c>
      <x:c r="I33" s="222" t="str">
        <x:v>ABTC 10-Q</x:v>
      </x:c>
      <x:c r="J33" s="230" t="str">
        <x:v>https://www.sec.gov/Archives/edgar/data/1755953/000119312526329472/abtc-20260630.htm</x:v>
      </x:c>
    </x:row>
    <x:row r="34">
      <x:c r="A34" s="226" t="str">
        <x:v>ATM</x:v>
      </x:c>
      <x:c r="B34" s="227" t="str">
        <x:v>ABTC</x:v>
      </x:c>
      <x:c r="C34" s="222" t="str">
        <x:v>Gross utilized since inception</x:v>
      </x:c>
      <x:c r="D34" s="232" t="n">
        <x:v>385.2</x:v>
      </x:c>
      <x:c r="E34" s="222" t="str">
        <x:v>USD million gross</x:v>
      </x:c>
      <x:c r="F34" s="222" t="str">
        <x:v>2026-06-30</x:v>
      </x:c>
      <x:c r="G34" s="222" t="str">
        <x:v>Reported</x:v>
      </x:c>
      <x:c r="H34" s="222" t="str">
        <x:v>Complete</x:v>
      </x:c>
      <x:c r="I34" s="222" t="str">
        <x:v>ABTC 10-Q</x:v>
      </x:c>
      <x:c r="J34" s="230" t="str">
        <x:v>https://www.sec.gov/Archives/edgar/data/1755953/000119312526329472/abtc-20260630.htm</x:v>
      </x:c>
    </x:row>
    <x:row r="35">
      <x:c r="A35" s="226" t="str">
        <x:v>ATM</x:v>
      </x:c>
      <x:c r="B35" s="227" t="str">
        <x:v>ABTC</x:v>
      </x:c>
      <x:c r="C35" s="222" t="str">
        <x:v>Remaining capacity</x:v>
      </x:c>
      <x:c r="D35" s="232" t="n">
        <x:v>1714.8</x:v>
      </x:c>
      <x:c r="E35" s="222" t="str">
        <x:v>USD million gross</x:v>
      </x:c>
      <x:c r="F35" s="222" t="str">
        <x:v>2026-06-30</x:v>
      </x:c>
      <x:c r="G35" s="222" t="str">
        <x:v>Derived</x:v>
      </x:c>
      <x:c r="H35" s="222" t="str">
        <x:v>Complete</x:v>
      </x:c>
      <x:c r="I35" s="222" t="str">
        <x:v>ABTC 10-Q</x:v>
      </x:c>
      <x:c r="J35" s="230" t="str">
        <x:v>https://www.sec.gov/Archives/edgar/data/1755953/000119312526329472/abtc-20260630.htm</x:v>
      </x:c>
    </x:row>
    <x:row r="36">
      <x:c r="A36" s="226" t="str">
        <x:v>Mining</x:v>
      </x:c>
      <x:c r="B36" s="227" t="str">
        <x:v>ABTC</x:v>
      </x:c>
      <x:c r="C36" s="222" t="str">
        <x:v>Operating hashrate</x:v>
      </x:c>
      <x:c r="D36" s="232" t="n">
        <x:v>25</x:v>
      </x:c>
      <x:c r="E36" s="222" t="str">
        <x:v>EH/s</x:v>
      </x:c>
      <x:c r="F36" s="222" t="str">
        <x:v>2026-Q2</x:v>
      </x:c>
      <x:c r="G36" s="222" t="str">
        <x:v>Reported</x:v>
      </x:c>
      <x:c r="H36" s="222" t="str">
        <x:v>Complete</x:v>
      </x:c>
      <x:c r="I36" s="222" t="str">
        <x:v>ABTC exhibit</x:v>
      </x:c>
      <x:c r="J36" s="230" t="str">
        <x:v>https://www.sec.gov/Archives/edgar/data/1755953/000119312526329472/d29123dex991.htm</x:v>
      </x:c>
    </x:row>
    <x:row r="37">
      <x:c r="A37" s="226" t="str">
        <x:v>Mining</x:v>
      </x:c>
      <x:c r="B37" s="227" t="str">
        <x:v>ABTC</x:v>
      </x:c>
      <x:c r="C37" s="222" t="str">
        <x:v>Fleet efficiency</x:v>
      </x:c>
      <x:c r="D37" s="232" t="n">
        <x:v>14.1</x:v>
      </x:c>
      <x:c r="E37" s="222" t="str">
        <x:v>J/TH</x:v>
      </x:c>
      <x:c r="F37" s="222" t="str">
        <x:v>2026-Q2</x:v>
      </x:c>
      <x:c r="G37" s="222" t="str">
        <x:v>Reported</x:v>
      </x:c>
      <x:c r="H37" s="222" t="str">
        <x:v>Complete</x:v>
      </x:c>
      <x:c r="I37" s="222" t="str">
        <x:v>ABTC exhibit</x:v>
      </x:c>
      <x:c r="J37" s="230" t="str">
        <x:v>https://www.sec.gov/Archives/edgar/data/1755953/000119312526329472/d29123dex991.htm</x:v>
      </x:c>
    </x:row>
    <x:row r="38">
      <x:c r="A38" s="226" t="str">
        <x:v>Mining</x:v>
      </x:c>
      <x:c r="B38" s="227" t="str">
        <x:v>ABTC</x:v>
      </x:c>
      <x:c r="C38" s="222" t="str">
        <x:v>BTC production</x:v>
      </x:c>
      <x:c r="D38" s="232" t="n">
        <x:v>932</x:v>
      </x:c>
      <x:c r="E38" s="222" t="str">
        <x:v>BTC</x:v>
      </x:c>
      <x:c r="F38" s="222" t="str">
        <x:v>2026-Q2</x:v>
      </x:c>
      <x:c r="G38" s="222" t="str">
        <x:v>Reported</x:v>
      </x:c>
      <x:c r="H38" s="222" t="str">
        <x:v>Complete</x:v>
      </x:c>
      <x:c r="I38" s="222" t="str">
        <x:v>ABTC exhibit</x:v>
      </x:c>
      <x:c r="J38" s="230" t="str">
        <x:v>https://www.sec.gov/Archives/edgar/data/1755953/000119312526329472/d29123dex991.htm</x:v>
      </x:c>
    </x:row>
    <x:row r="39">
      <x:c r="A39" s="226" t="str">
        <x:v>Mining</x:v>
      </x:c>
      <x:c r="B39" s="227" t="str">
        <x:v>ABTC</x:v>
      </x:c>
      <x:c r="C39" s="222" t="str">
        <x:v>Cost to mine</x:v>
      </x:c>
      <x:c r="D39" s="232" t="n">
        <x:v>36500</x:v>
      </x:c>
      <x:c r="E39" s="222" t="str">
        <x:v>USD/BTC</x:v>
      </x:c>
      <x:c r="F39" s="222" t="str">
        <x:v>2026-Q2</x:v>
      </x:c>
      <x:c r="G39" s="222" t="str">
        <x:v>Reported</x:v>
      </x:c>
      <x:c r="H39" s="222" t="str">
        <x:v>Complete</x:v>
      </x:c>
      <x:c r="I39" s="222" t="str">
        <x:v>ABTC exhibit</x:v>
      </x:c>
      <x:c r="J39" s="230" t="str">
        <x:v>https://www.sec.gov/Archives/edgar/data/1755953/000119312526329472/d29123dex991.htm</x:v>
      </x:c>
    </x:row>
    <x:row r="40">
      <x:c r="A40" s="226" t="str">
        <x:v>Capex</x:v>
      </x:c>
      <x:c r="B40" s="227" t="str">
        <x:v>ABTC</x:v>
      </x:c>
      <x:c r="C40" s="222" t="str">
        <x:v>Miner/equipment cash deposit</x:v>
      </x:c>
      <x:c r="D40" s="232" t="n">
        <x:v>0.445</x:v>
      </x:c>
      <x:c r="E40" s="222" t="str">
        <x:v>USD million</x:v>
      </x:c>
      <x:c r="F40" s="222" t="str">
        <x:v>2026-H1</x:v>
      </x:c>
      <x:c r="G40" s="222" t="str">
        <x:v>Reported cash flow</x:v>
      </x:c>
      <x:c r="H40" s="222" t="str">
        <x:v>Complete</x:v>
      </x:c>
      <x:c r="I40" s="222" t="str">
        <x:v>ABTC 10-Q</x:v>
      </x:c>
      <x:c r="J40" s="230" t="str">
        <x:v>https://www.sec.gov/Archives/edgar/data/1755953/000119312526329472/abtc-20260630.htm</x:v>
      </x:c>
    </x:row>
    <x:row r="41">
      <x:c r="A41" s="226" t="str">
        <x:v>Capital stack</x:v>
      </x:c>
      <x:c r="B41" s="227" t="str">
        <x:v>XXI</x:v>
      </x:c>
      <x:c r="C41" s="222" t="str">
        <x:v>BTC held</x:v>
      </x:c>
      <x:c r="D41" s="232" t="n">
        <x:v>43514</x:v>
      </x:c>
      <x:c r="E41" s="222" t="str">
        <x:v>BTC</x:v>
      </x:c>
      <x:c r="F41" s="222" t="str">
        <x:v>2026-Q1</x:v>
      </x:c>
      <x:c r="G41" s="222" t="str">
        <x:v>Reported</x:v>
      </x:c>
      <x:c r="H41" s="222" t="str">
        <x:v>Complete</x:v>
      </x:c>
      <x:c r="I41" s="222" t="str">
        <x:v>XXI 10-Q</x:v>
      </x:c>
      <x:c r="J41" s="230" t="str">
        <x:v>https://www.sec.gov/Archives/edgar/data/2070457/000121390026055938/ea0287897-10q_twentyone.htm</x:v>
      </x:c>
    </x:row>
    <x:row r="42">
      <x:c r="A42" s="226" t="str">
        <x:v>Capital stack</x:v>
      </x:c>
      <x:c r="B42" s="227" t="str">
        <x:v>XXI</x:v>
      </x:c>
      <x:c r="C42" s="222" t="str">
        <x:v>Cash</x:v>
      </x:c>
      <x:c r="D42" s="232" t="n">
        <x:v>114.057427</x:v>
      </x:c>
      <x:c r="E42" s="222" t="str">
        <x:v>USD million</x:v>
      </x:c>
      <x:c r="F42" s="222" t="str">
        <x:v>2026-03-31</x:v>
      </x:c>
      <x:c r="G42" s="222" t="str">
        <x:v>Reported</x:v>
      </x:c>
      <x:c r="H42" s="222" t="str">
        <x:v>Complete</x:v>
      </x:c>
      <x:c r="I42" s="222" t="str">
        <x:v>XXI 10-Q</x:v>
      </x:c>
      <x:c r="J42" s="230" t="str">
        <x:v>https://www.sec.gov/Archives/edgar/data/2070457/000121390026055938/ea0287897-10q_twentyone.htm</x:v>
      </x:c>
    </x:row>
    <x:row r="43">
      <x:c r="A43" s="226" t="str">
        <x:v>Capital stack</x:v>
      </x:c>
      <x:c r="B43" s="227" t="str">
        <x:v>XXI</x:v>
      </x:c>
      <x:c r="C43" s="222" t="str">
        <x:v>Convertible notes principal</x:v>
      </x:c>
      <x:c r="D43" s="232" t="n">
        <x:v>486.5</x:v>
      </x:c>
      <x:c r="E43" s="222" t="str">
        <x:v>USD million</x:v>
      </x:c>
      <x:c r="F43" s="222" t="str">
        <x:v>2026-03-31</x:v>
      </x:c>
      <x:c r="G43" s="222" t="str">
        <x:v>Reported</x:v>
      </x:c>
      <x:c r="H43" s="222" t="str">
        <x:v>Complete</x:v>
      </x:c>
      <x:c r="I43" s="222" t="str">
        <x:v>XXI 10-Q</x:v>
      </x:c>
      <x:c r="J43" s="230" t="str">
        <x:v>https://www.sec.gov/Archives/edgar/data/2070457/000121390026055938/ea0287897-10q_twentyone.htm</x:v>
      </x:c>
    </x:row>
    <x:row r="44">
      <x:c r="A44" s="226" t="str">
        <x:v>Capital stack</x:v>
      </x:c>
      <x:c r="B44" s="227" t="str">
        <x:v>XXI</x:v>
      </x:c>
      <x:c r="C44" s="222" t="str">
        <x:v>Total liabilities</x:v>
      </x:c>
      <x:c r="D44" s="232" t="n">
        <x:v>489.300409</x:v>
      </x:c>
      <x:c r="E44" s="222" t="str">
        <x:v>USD million</x:v>
      </x:c>
      <x:c r="F44" s="222" t="str">
        <x:v>2026-03-31</x:v>
      </x:c>
      <x:c r="G44" s="222" t="str">
        <x:v>Reported</x:v>
      </x:c>
      <x:c r="H44" s="222" t="str">
        <x:v>Complete</x:v>
      </x:c>
      <x:c r="I44" s="222" t="str">
        <x:v>XXI 10-Q</x:v>
      </x:c>
      <x:c r="J44" s="230" t="str">
        <x:v>https://www.sec.gov/Archives/edgar/data/2070457/000121390026055938/ea0287897-10q_twentyone.htm</x:v>
      </x:c>
    </x:row>
    <x:row r="45">
      <x:c r="A45" s="226" t="str">
        <x:v>Capital stack</x:v>
      </x:c>
      <x:c r="B45" s="227" t="str">
        <x:v>XXI</x:v>
      </x:c>
      <x:c r="C45" s="222" t="str">
        <x:v>BTC pledged</x:v>
      </x:c>
      <x:c r="D45" s="232" t="n">
        <x:v>16116</x:v>
      </x:c>
      <x:c r="E45" s="222" t="str">
        <x:v>BTC</x:v>
      </x:c>
      <x:c r="F45" s="222" t="str">
        <x:v>2026-03-31</x:v>
      </x:c>
      <x:c r="G45" s="222" t="str">
        <x:v>Reported</x:v>
      </x:c>
      <x:c r="H45" s="222" t="str">
        <x:v>Complete</x:v>
      </x:c>
      <x:c r="I45" s="222" t="str">
        <x:v>XXI 10-Q</x:v>
      </x:c>
      <x:c r="J45" s="230" t="str">
        <x:v>https://www.sec.gov/Archives/edgar/data/2070457/000121390026055938/ea0287897-10q_twentyone.htm</x:v>
      </x:c>
    </x:row>
    <x:row r="46">
      <x:c r="A46" s="226" t="str">
        <x:v>Dilution</x:v>
      </x:c>
      <x:c r="B46" s="227" t="str">
        <x:v>XXI</x:v>
      </x:c>
      <x:c r="C46" s="222" t="str">
        <x:v>Economic Class A shares</x:v>
      </x:c>
      <x:c r="D46" s="232" t="n">
        <x:v>346.807836</x:v>
      </x:c>
      <x:c r="E46" s="222" t="str">
        <x:v>million shares</x:v>
      </x:c>
      <x:c r="F46" s="222" t="str">
        <x:v>2026-05-12</x:v>
      </x:c>
      <x:c r="G46" s="222" t="str">
        <x:v>Reported</x:v>
      </x:c>
      <x:c r="H46" s="222" t="str">
        <x:v>Complete</x:v>
      </x:c>
      <x:c r="I46" s="222" t="str">
        <x:v>XXI 10-Q</x:v>
      </x:c>
      <x:c r="J46" s="230" t="str">
        <x:v>https://www.sec.gov/Archives/edgar/data/2070457/000121390026055938/ea0287897-10q_twentyone.htm</x:v>
      </x:c>
    </x:row>
    <x:row r="47">
      <x:c r="A47" s="226" t="str">
        <x:v>Dilution</x:v>
      </x:c>
      <x:c r="B47" s="227" t="str">
        <x:v>XXI</x:v>
      </x:c>
      <x:c r="C47" s="222" t="str">
        <x:v>Convertible-note shares at $13</x:v>
      </x:c>
      <x:c r="D47" s="232" t="n">
        <x:v>37.423077</x:v>
      </x:c>
      <x:c r="E47" s="222" t="str">
        <x:v>million shares</x:v>
      </x:c>
      <x:c r="F47" s="222" t="str">
        <x:v>2026-03-31</x:v>
      </x:c>
      <x:c r="G47" s="222" t="str">
        <x:v>Derived from terms</x:v>
      </x:c>
      <x:c r="H47" s="222" t="str">
        <x:v>Complete</x:v>
      </x:c>
      <x:c r="I47" s="222" t="str">
        <x:v>XXI 10-Q</x:v>
      </x:c>
      <x:c r="J47" s="230" t="str">
        <x:v>https://www.sec.gov/Archives/edgar/data/2070457/000121390026055938/ea0287897-10q_twentyone.htm</x:v>
      </x:c>
    </x:row>
    <x:row r="48">
      <x:c r="A48" s="226" t="str">
        <x:v>Dilution</x:v>
      </x:c>
      <x:c r="B48" s="227" t="str">
        <x:v>XXI</x:v>
      </x:c>
      <x:c r="C48" s="222" t="str">
        <x:v>Officer stock options</x:v>
      </x:c>
      <x:c r="D48" s="232" t="n">
        <x:v>13.120888</x:v>
      </x:c>
      <x:c r="E48" s="222" t="str">
        <x:v>million shares</x:v>
      </x:c>
      <x:c r="F48" s="222" t="str">
        <x:v>2026-03-31</x:v>
      </x:c>
      <x:c r="G48" s="222" t="str">
        <x:v>Reported</x:v>
      </x:c>
      <x:c r="H48" s="222" t="str">
        <x:v>Complete</x:v>
      </x:c>
      <x:c r="I48" s="222" t="str">
        <x:v>XXI 10-Q</x:v>
      </x:c>
      <x:c r="J48" s="230" t="str">
        <x:v>https://www.sec.gov/Archives/edgar/data/2070457/000121390026055938/ea0287897-10q_twentyone.htm</x:v>
      </x:c>
    </x:row>
    <x:row r="49">
      <x:c r="A49" s="226" t="str">
        <x:v>Dilution</x:v>
      </x:c>
      <x:c r="B49" s="227" t="str">
        <x:v>XXI</x:v>
      </x:c>
      <x:c r="C49" s="222" t="str">
        <x:v>Known diluted share floor</x:v>
      </x:c>
      <x:c r="D49" s="232" t="n">
        <x:v>397.351801</x:v>
      </x:c>
      <x:c r="E49" s="222" t="str">
        <x:v>million shares</x:v>
      </x:c>
      <x:c r="F49" s="222" t="str">
        <x:v>2026-03-31</x:v>
      </x:c>
      <x:c r="G49" s="222" t="str">
        <x:v>Derived; excludes unquantified RSUs</x:v>
      </x:c>
      <x:c r="H49" s="222" t="str">
        <x:v>Partial</x:v>
      </x:c>
      <x:c r="I49" s="222" t="str">
        <x:v>XXI 10-Q</x:v>
      </x:c>
      <x:c r="J49" s="230" t="str">
        <x:v>https://www.sec.gov/Archives/edgar/data/2070457/000121390026055938/ea0287897-10q_twentyone.htm</x:v>
      </x:c>
    </x:row>
    <x:row r="50">
      <x:c r="A50" s="226" t="str">
        <x:v>Capital stack</x:v>
      </x:c>
      <x:c r="B50" s="227" t="str">
        <x:v>CLSK</x:v>
      </x:c>
      <x:c r="C50" s="222" t="str">
        <x:v>BTC held</x:v>
      </x:c>
      <x:c r="D50" s="232" t="n">
        <x:v>13931</x:v>
      </x:c>
      <x:c r="E50" s="222" t="str">
        <x:v>BTC</x:v>
      </x:c>
      <x:c r="F50" s="222" t="str">
        <x:v>2026-07</x:v>
      </x:c>
      <x:c r="G50" s="222" t="str">
        <x:v>Reported</x:v>
      </x:c>
      <x:c r="H50" s="222" t="str">
        <x:v>Complete</x:v>
      </x:c>
      <x:c r="I50" s="222" t="str">
        <x:v>CleanSpark IR / 10-Q</x:v>
      </x:c>
      <x:c r="J50" s="230" t="str">
        <x:v>https://www.sec.gov/Archives/edgar/data/827876/000119312526338382/clsk-20260630.htm</x:v>
      </x:c>
    </x:row>
    <x:row r="51">
      <x:c r="A51" s="226" t="str">
        <x:v>Capital stack</x:v>
      </x:c>
      <x:c r="B51" s="227" t="str">
        <x:v>CLSK</x:v>
      </x:c>
      <x:c r="C51" s="222" t="str">
        <x:v>Cash</x:v>
      </x:c>
      <x:c r="D51" s="232" t="n">
        <x:v>202.601</x:v>
      </x:c>
      <x:c r="E51" s="222" t="str">
        <x:v>USD million</x:v>
      </x:c>
      <x:c r="F51" s="222" t="str">
        <x:v>2026-06-30</x:v>
      </x:c>
      <x:c r="G51" s="222" t="str">
        <x:v>Reported</x:v>
      </x:c>
      <x:c r="H51" s="222" t="str">
        <x:v>Complete</x:v>
      </x:c>
      <x:c r="I51" s="222" t="str">
        <x:v>CLSK 10-Q</x:v>
      </x:c>
      <x:c r="J51" s="230" t="str">
        <x:v>https://www.sec.gov/Archives/edgar/data/827876/000119312526338382/clsk-20260630.htm</x:v>
      </x:c>
    </x:row>
    <x:row r="52">
      <x:c r="A52" s="226" t="str">
        <x:v>Capital stack</x:v>
      </x:c>
      <x:c r="B52" s="227" t="str">
        <x:v>CLSK</x:v>
      </x:c>
      <x:c r="C52" s="222" t="str">
        <x:v>Convertible debt principal</x:v>
      </x:c>
      <x:c r="D52" s="232" t="n">
        <x:v>1770.878</x:v>
      </x:c>
      <x:c r="E52" s="222" t="str">
        <x:v>USD million</x:v>
      </x:c>
      <x:c r="F52" s="222" t="str">
        <x:v>2026-06-30</x:v>
      </x:c>
      <x:c r="G52" s="222" t="str">
        <x:v>Reported</x:v>
      </x:c>
      <x:c r="H52" s="222" t="str">
        <x:v>Complete</x:v>
      </x:c>
      <x:c r="I52" s="222" t="str">
        <x:v>CLSK 10-Q</x:v>
      </x:c>
      <x:c r="J52" s="230" t="str">
        <x:v>https://www.sec.gov/Archives/edgar/data/827876/000119312526338382/clsk-20260630.htm</x:v>
      </x:c>
    </x:row>
    <x:row r="53">
      <x:c r="A53" s="226" t="str">
        <x:v>Capital stack</x:v>
      </x:c>
      <x:c r="B53" s="227" t="str">
        <x:v>CLSK</x:v>
      </x:c>
      <x:c r="C53" s="222" t="str">
        <x:v>Total liabilities</x:v>
      </x:c>
      <x:c r="D53" s="232" t="n">
        <x:v>1940.916</x:v>
      </x:c>
      <x:c r="E53" s="222" t="str">
        <x:v>USD million</x:v>
      </x:c>
      <x:c r="F53" s="222" t="str">
        <x:v>2026-06-30</x:v>
      </x:c>
      <x:c r="G53" s="222" t="str">
        <x:v>Reported</x:v>
      </x:c>
      <x:c r="H53" s="222" t="str">
        <x:v>Complete</x:v>
      </x:c>
      <x:c r="I53" s="222" t="str">
        <x:v>CLSK 10-Q</x:v>
      </x:c>
      <x:c r="J53" s="230" t="str">
        <x:v>https://www.sec.gov/Archives/edgar/data/827876/000119312526338382/clsk-20260630.htm</x:v>
      </x:c>
    </x:row>
    <x:row r="54">
      <x:c r="A54" s="226" t="str">
        <x:v>Preferred</x:v>
      </x:c>
      <x:c r="B54" s="227" t="str">
        <x:v>CLSK</x:v>
      </x:c>
      <x:c r="C54" s="222" t="str">
        <x:v>Series A preferred issued</x:v>
      </x:c>
      <x:c r="D54" s="232" t="n">
        <x:v>1.75</x:v>
      </x:c>
      <x:c r="E54" s="222" t="str">
        <x:v>million shares</x:v>
      </x:c>
      <x:c r="F54" s="222" t="str">
        <x:v>2026-06-30</x:v>
      </x:c>
      <x:c r="G54" s="222" t="str">
        <x:v>Reported; value not normalized</x:v>
      </x:c>
      <x:c r="H54" s="222" t="str">
        <x:v>Partial</x:v>
      </x:c>
      <x:c r="I54" s="222" t="str">
        <x:v>CLSK 10-Q</x:v>
      </x:c>
      <x:c r="J54" s="230" t="str">
        <x:v>https://www.sec.gov/Archives/edgar/data/827876/000119312526338382/clsk-20260630.htm</x:v>
      </x:c>
    </x:row>
    <x:row r="55">
      <x:c r="A55" s="226" t="str">
        <x:v>Dilution</x:v>
      </x:c>
      <x:c r="B55" s="227" t="str">
        <x:v>CLSK</x:v>
      </x:c>
      <x:c r="C55" s="222" t="str">
        <x:v>Convertible-note shares</x:v>
      </x:c>
      <x:c r="D55" s="232" t="n">
        <x:v>43.930792</x:v>
      </x:c>
      <x:c r="E55" s="222" t="str">
        <x:v>million shares</x:v>
      </x:c>
      <x:c r="F55" s="222" t="str">
        <x:v>2026-Q2</x:v>
      </x:c>
      <x:c r="G55" s="222" t="str">
        <x:v>Reported EPS dilution</x:v>
      </x:c>
      <x:c r="H55" s="222" t="str">
        <x:v>Complete</x:v>
      </x:c>
      <x:c r="I55" s="222" t="str">
        <x:v>CLSK 10-Q</x:v>
      </x:c>
      <x:c r="J55" s="230" t="str">
        <x:v>https://www.sec.gov/Archives/edgar/data/827876/000119312526338382/clsk-20260630.htm</x:v>
      </x:c>
    </x:row>
    <x:row r="56">
      <x:c r="A56" s="226" t="str">
        <x:v>Dilution</x:v>
      </x:c>
      <x:c r="B56" s="227" t="str">
        <x:v>CLSK</x:v>
      </x:c>
      <x:c r="C56" s="222" t="str">
        <x:v>Warrants</x:v>
      </x:c>
      <x:c r="D56" s="232" t="n">
        <x:v>1.604559</x:v>
      </x:c>
      <x:c r="E56" s="222" t="str">
        <x:v>million shares</x:v>
      </x:c>
      <x:c r="F56" s="222" t="str">
        <x:v>2026-06-30</x:v>
      </x:c>
      <x:c r="G56" s="222" t="str">
        <x:v>Reported</x:v>
      </x:c>
      <x:c r="H56" s="222" t="str">
        <x:v>Complete</x:v>
      </x:c>
      <x:c r="I56" s="222" t="str">
        <x:v>CLSK 10-Q</x:v>
      </x:c>
      <x:c r="J56" s="230" t="str">
        <x:v>https://www.sec.gov/Archives/edgar/data/827876/000119312526338382/clsk-20260630.htm</x:v>
      </x:c>
    </x:row>
    <x:row r="57">
      <x:c r="A57" s="226" t="str">
        <x:v>Dilution</x:v>
      </x:c>
      <x:c r="B57" s="227" t="str">
        <x:v>CLSK</x:v>
      </x:c>
      <x:c r="C57" s="222" t="str">
        <x:v>Options</x:v>
      </x:c>
      <x:c r="D57" s="232" t="n">
        <x:v>1.898584</x:v>
      </x:c>
      <x:c r="E57" s="222" t="str">
        <x:v>million shares</x:v>
      </x:c>
      <x:c r="F57" s="222" t="str">
        <x:v>2026-06-30</x:v>
      </x:c>
      <x:c r="G57" s="222" t="str">
        <x:v>Reported</x:v>
      </x:c>
      <x:c r="H57" s="222" t="str">
        <x:v>Complete</x:v>
      </x:c>
      <x:c r="I57" s="222" t="str">
        <x:v>CLSK 10-Q</x:v>
      </x:c>
      <x:c r="J57" s="230" t="str">
        <x:v>https://www.sec.gov/Archives/edgar/data/827876/000119312526338382/clsk-20260630.htm</x:v>
      </x:c>
    </x:row>
    <x:row r="58">
      <x:c r="A58" s="226" t="str">
        <x:v>Dilution</x:v>
      </x:c>
      <x:c r="B58" s="227" t="str">
        <x:v>CLSK</x:v>
      </x:c>
      <x:c r="C58" s="222" t="str">
        <x:v>Unvested time-based RSUs</x:v>
      </x:c>
      <x:c r="D58" s="232" t="n">
        <x:v>14.982832</x:v>
      </x:c>
      <x:c r="E58" s="222" t="str">
        <x:v>million shares</x:v>
      </x:c>
      <x:c r="F58" s="222" t="str">
        <x:v>2026-06-30</x:v>
      </x:c>
      <x:c r="G58" s="222" t="str">
        <x:v>Reported</x:v>
      </x:c>
      <x:c r="H58" s="222" t="str">
        <x:v>Complete</x:v>
      </x:c>
      <x:c r="I58" s="222" t="str">
        <x:v>CLSK 10-Q</x:v>
      </x:c>
      <x:c r="J58" s="230" t="str">
        <x:v>https://www.sec.gov/Archives/edgar/data/827876/000119312526338382/clsk-20260630.htm</x:v>
      </x:c>
    </x:row>
    <x:row r="59">
      <x:c r="A59" s="226" t="str">
        <x:v>Mining</x:v>
      </x:c>
      <x:c r="B59" s="227" t="str">
        <x:v>CLSK</x:v>
      </x:c>
      <x:c r="C59" s="222" t="str">
        <x:v>Average hashrate</x:v>
      </x:c>
      <x:c r="D59" s="232" t="n">
        <x:v>42.6</x:v>
      </x:c>
      <x:c r="E59" s="222" t="str">
        <x:v>EH/s</x:v>
      </x:c>
      <x:c r="F59" s="222" t="str">
        <x:v>2026-06</x:v>
      </x:c>
      <x:c r="G59" s="222" t="str">
        <x:v>Reported</x:v>
      </x:c>
      <x:c r="H59" s="222" t="str">
        <x:v>Complete</x:v>
      </x:c>
      <x:c r="I59" s="222" t="str">
        <x:v>CLSK 10-Q</x:v>
      </x:c>
      <x:c r="J59" s="230" t="str">
        <x:v>https://www.sec.gov/Archives/edgar/data/827876/000119312526338382/clsk-20260630.htm</x:v>
      </x:c>
    </x:row>
    <x:row r="60">
      <x:c r="A60" s="226" t="str">
        <x:v>Mining</x:v>
      </x:c>
      <x:c r="B60" s="227" t="str">
        <x:v>CLSK</x:v>
      </x:c>
      <x:c r="C60" s="222" t="str">
        <x:v>Fleet efficiency</x:v>
      </x:c>
      <x:c r="D60" s="232" t="n">
        <x:v>15.8</x:v>
      </x:c>
      <x:c r="E60" s="222" t="str">
        <x:v>J/TH</x:v>
      </x:c>
      <x:c r="F60" s="222" t="str">
        <x:v>2026-06</x:v>
      </x:c>
      <x:c r="G60" s="222" t="str">
        <x:v>Reported</x:v>
      </x:c>
      <x:c r="H60" s="222" t="str">
        <x:v>Complete</x:v>
      </x:c>
      <x:c r="I60" s="222" t="str">
        <x:v>CLSK 10-Q</x:v>
      </x:c>
      <x:c r="J60" s="230" t="str">
        <x:v>https://www.sec.gov/Archives/edgar/data/827876/000119312526338382/clsk-20260630.htm</x:v>
      </x:c>
    </x:row>
    <x:row r="61">
      <x:c r="A61" s="226" t="str">
        <x:v>Mining</x:v>
      </x:c>
      <x:c r="B61" s="227" t="str">
        <x:v>CLSK</x:v>
      </x:c>
      <x:c r="C61" s="222" t="str">
        <x:v>BTC production</x:v>
      </x:c>
      <x:c r="D61" s="232" t="n">
        <x:v>586</x:v>
      </x:c>
      <x:c r="E61" s="222" t="str">
        <x:v>BTC</x:v>
      </x:c>
      <x:c r="F61" s="222" t="str">
        <x:v>2026-07</x:v>
      </x:c>
      <x:c r="G61" s="222" t="str">
        <x:v>Reported</x:v>
      </x:c>
      <x:c r="H61" s="222" t="str">
        <x:v>Complete</x:v>
      </x:c>
      <x:c r="I61" s="222" t="str">
        <x:v>CleanSpark monthly update</x:v>
      </x:c>
      <x:c r="J61" s="230" t="str">
        <x:v>https://investors.cleanspark.com</x:v>
      </x:c>
    </x:row>
    <x:row r="62">
      <x:c r="A62" s="226" t="str">
        <x:v>Mining</x:v>
      </x:c>
      <x:c r="B62" s="227" t="str">
        <x:v>CLSK</x:v>
      </x:c>
      <x:c r="C62" s="222" t="str">
        <x:v>Energy cost per BTC</x:v>
      </x:c>
      <x:c r="D62" s="232" t="n">
        <x:v>44317</x:v>
      </x:c>
      <x:c r="E62" s="222" t="str">
        <x:v>USD/BTC</x:v>
      </x:c>
      <x:c r="F62" s="222" t="str">
        <x:v>2026-Q3</x:v>
      </x:c>
      <x:c r="G62" s="222" t="str">
        <x:v>Reported</x:v>
      </x:c>
      <x:c r="H62" s="222" t="str">
        <x:v>Complete</x:v>
      </x:c>
      <x:c r="I62" s="222" t="str">
        <x:v>CLSK results</x:v>
      </x:c>
      <x:c r="J62" s="230" t="str">
        <x:v>https://investors.cleanspark.com</x:v>
      </x:c>
    </x:row>
    <x:row r="63">
      <x:c r="A63" s="226" t="str">
        <x:v>Capex</x:v>
      </x:c>
      <x:c r="B63" s="227" t="str">
        <x:v>CLSK</x:v>
      </x:c>
      <x:c r="C63" s="222" t="str">
        <x:v>Property/equipment additions</x:v>
      </x:c>
      <x:c r="D63" s="232" t="n">
        <x:v>319.013</x:v>
      </x:c>
      <x:c r="E63" s="222" t="str">
        <x:v>USD million</x:v>
      </x:c>
      <x:c r="F63" s="222" t="str">
        <x:v>2026-9M</x:v>
      </x:c>
      <x:c r="G63" s="222" t="str">
        <x:v>Reported</x:v>
      </x:c>
      <x:c r="H63" s="222" t="str">
        <x:v>Complete</x:v>
      </x:c>
      <x:c r="I63" s="222" t="str">
        <x:v>CLSK 10-Q</x:v>
      </x:c>
      <x:c r="J63" s="230" t="str">
        <x:v>https://www.sec.gov/Archives/edgar/data/827876/000119312526338382/clsk-20260630.htm</x:v>
      </x:c>
    </x:row>
    <x:row r="64">
      <x:c r="A64" s="226" t="str">
        <x:v>Capex</x:v>
      </x:c>
      <x:c r="B64" s="227" t="str">
        <x:v>CLSK</x:v>
      </x:c>
      <x:c r="C64" s="222" t="str">
        <x:v>Cash payments: miners + fixed assets</x:v>
      </x:c>
      <x:c r="D64" s="232" t="n">
        <x:v>112.994</x:v>
      </x:c>
      <x:c r="E64" s="222" t="str">
        <x:v>USD million</x:v>
      </x:c>
      <x:c r="F64" s="222" t="str">
        <x:v>2026-9M</x:v>
      </x:c>
      <x:c r="G64" s="222" t="str">
        <x:v>Derived from cash-flow components</x:v>
      </x:c>
      <x:c r="H64" s="222" t="str">
        <x:v>Complete</x:v>
      </x:c>
      <x:c r="I64" s="222" t="str">
        <x:v>CLSK 10-Q</x:v>
      </x:c>
      <x:c r="J64" s="230" t="str">
        <x:v>https://www.sec.gov/Archives/edgar/data/827876/000119312526338382/clsk-20260630.htm</x:v>
      </x:c>
    </x:row>
    <x:row r="65">
      <x:c r="A65" s="226" t="str">
        <x:v>HPC</x:v>
      </x:c>
      <x:c r="B65" s="227" t="str">
        <x:v>CLSK</x:v>
      </x:c>
      <x:c r="C65" s="222" t="str">
        <x:v>Sandersville contracted IT load</x:v>
      </x:c>
      <x:c r="D65" s="232" t="n">
        <x:v>175</x:v>
      </x:c>
      <x:c r="E65" s="222" t="str">
        <x:v>MW</x:v>
      </x:c>
      <x:c r="F65" s="222" t="str">
        <x:v>2026-07-10</x:v>
      </x:c>
      <x:c r="G65" s="222" t="str">
        <x:v>Reported contract term</x:v>
      </x:c>
      <x:c r="H65" s="222" t="str">
        <x:v>Complete</x:v>
      </x:c>
      <x:c r="I65" s="222" t="str">
        <x:v>CLSK 10-Q</x:v>
      </x:c>
      <x:c r="J65" s="230" t="str">
        <x:v>https://www.sec.gov/Archives/edgar/data/827876/000119312526338382/clsk-20260630.htm</x:v>
      </x:c>
    </x:row>
    <x:row r="66">
      <x:c r="A66" s="226" t="str">
        <x:v>HPC</x:v>
      </x:c>
      <x:c r="B66" s="227" t="str">
        <x:v>CLSK</x:v>
      </x:c>
      <x:c r="C66" s="222" t="str">
        <x:v>Sandersville lease term</x:v>
      </x:c>
      <x:c r="D66" s="232" t="n">
        <x:v>20</x:v>
      </x:c>
      <x:c r="E66" s="222" t="str">
        <x:v>years</x:v>
      </x:c>
      <x:c r="F66" s="222" t="str">
        <x:v>2026-07-10</x:v>
      </x:c>
      <x:c r="G66" s="222" t="str">
        <x:v>Reported; two 5-year extensions</x:v>
      </x:c>
      <x:c r="H66" s="222" t="str">
        <x:v>Complete</x:v>
      </x:c>
      <x:c r="I66" s="222" t="str">
        <x:v>CLSK 10-Q</x:v>
      </x:c>
      <x:c r="J66" s="230" t="str">
        <x:v>https://www.sec.gov/Archives/edgar/data/827876/000119312526338382/clsk-20260630.htm</x:v>
      </x:c>
    </x:row>
    <x:row r="67">
      <x:c r="A67" s="226" t="str">
        <x:v>HPC</x:v>
      </x:c>
      <x:c r="B67" s="227" t="str">
        <x:v>CLSK</x:v>
      </x:c>
      <x:c r="C67" s="222" t="str">
        <x:v>Lease revenue/NOI/capex</x:v>
      </x:c>
      <x:c r="D67" s="232"/>
      <x:c r="E67" s="222" t="str">
        <x:v>USD</x:v>
      </x:c>
      <x:c r="F67" s="222" t="str">
        <x:v>2026-07-10</x:v>
      </x:c>
      <x:c r="G67" s="222" t="str">
        <x:v>Not quantified in 10-Q text</x:v>
      </x:c>
      <x:c r="H67" s="222" t="str">
        <x:v>Missing</x:v>
      </x:c>
      <x:c r="I67" s="222" t="str">
        <x:v>CLSK filings</x:v>
      </x:c>
      <x:c r="J67" s="230" t="str">
        <x:v>https://www.sec.gov/Archives/edgar/data/827876/000119312526338382/clsk-20260630.htm</x:v>
      </x:c>
    </x:row>
    <x:row r="68">
      <x:c r="A68" s="226" t="str">
        <x:v>Capital stack</x:v>
      </x:c>
      <x:c r="B68" s="227" t="str">
        <x:v>MARA</x:v>
      </x:c>
      <x:c r="C68" s="222" t="str">
        <x:v>BTC held</x:v>
      </x:c>
      <x:c r="D68" s="232" t="n">
        <x:v>35577</x:v>
      </x:c>
      <x:c r="E68" s="222" t="str">
        <x:v>BTC</x:v>
      </x:c>
      <x:c r="F68" s="222" t="str">
        <x:v>2026-06-30</x:v>
      </x:c>
      <x:c r="G68" s="222" t="str">
        <x:v>Reported</x:v>
      </x:c>
      <x:c r="H68" s="222" t="str">
        <x:v>Complete</x:v>
      </x:c>
      <x:c r="I68" s="222" t="str">
        <x:v>MARA 10-Q</x:v>
      </x:c>
      <x:c r="J68" s="230" t="str">
        <x:v>https://ir.mara.com/sec-filings/all-sec-filings/content/0001507605-26-000022/mara-20260630.htm</x:v>
      </x:c>
    </x:row>
    <x:row r="69">
      <x:c r="A69" s="226" t="str">
        <x:v>Capital stack</x:v>
      </x:c>
      <x:c r="B69" s="227" t="str">
        <x:v>MARA</x:v>
      </x:c>
      <x:c r="C69" s="222" t="str">
        <x:v>Cash</x:v>
      </x:c>
      <x:c r="D69" s="232" t="n">
        <x:v>421.3</x:v>
      </x:c>
      <x:c r="E69" s="222" t="str">
        <x:v>USD million</x:v>
      </x:c>
      <x:c r="F69" s="222" t="str">
        <x:v>2026-06-30</x:v>
      </x:c>
      <x:c r="G69" s="222" t="str">
        <x:v>Reported</x:v>
      </x:c>
      <x:c r="H69" s="222" t="str">
        <x:v>Complete</x:v>
      </x:c>
      <x:c r="I69" s="222" t="str">
        <x:v>MARA 10-Q</x:v>
      </x:c>
      <x:c r="J69" s="230" t="str">
        <x:v>https://ir.mara.com/sec-filings/all-sec-filings/content/0001507605-26-000022/mara-20260630.htm</x:v>
      </x:c>
    </x:row>
    <x:row r="70">
      <x:c r="A70" s="226" t="str">
        <x:v>Capital stack</x:v>
      </x:c>
      <x:c r="B70" s="227" t="str">
        <x:v>MARA</x:v>
      </x:c>
      <x:c r="C70" s="222" t="str">
        <x:v>Debt principal</x:v>
      </x:c>
      <x:c r="D70" s="232" t="n">
        <x:v>2447.201</x:v>
      </x:c>
      <x:c r="E70" s="222" t="str">
        <x:v>USD million</x:v>
      </x:c>
      <x:c r="F70" s="222" t="str">
        <x:v>2026-06-30</x:v>
      </x:c>
      <x:c r="G70" s="222" t="str">
        <x:v>Reported</x:v>
      </x:c>
      <x:c r="H70" s="222" t="str">
        <x:v>Complete</x:v>
      </x:c>
      <x:c r="I70" s="222" t="str">
        <x:v>MARA 10-Q</x:v>
      </x:c>
      <x:c r="J70" s="230" t="str">
        <x:v>https://ir.mara.com/sec-filings/all-sec-filings/content/0001507605-26-000022/mara-20260630.htm</x:v>
      </x:c>
    </x:row>
    <x:row r="71">
      <x:c r="A71" s="226" t="str">
        <x:v>Capital stack</x:v>
      </x:c>
      <x:c r="B71" s="227" t="str">
        <x:v>MARA</x:v>
      </x:c>
      <x:c r="C71" s="222" t="str">
        <x:v>BTC loaned or pledged</x:v>
      </x:c>
      <x:c r="D71" s="232" t="n">
        <x:v>9270</x:v>
      </x:c>
      <x:c r="E71" s="222" t="str">
        <x:v>BTC</x:v>
      </x:c>
      <x:c r="F71" s="222" t="str">
        <x:v>2026-06-30</x:v>
      </x:c>
      <x:c r="G71" s="222" t="str">
        <x:v>Reported</x:v>
      </x:c>
      <x:c r="H71" s="222" t="str">
        <x:v>Complete</x:v>
      </x:c>
      <x:c r="I71" s="222" t="str">
        <x:v>MARA 10-Q</x:v>
      </x:c>
      <x:c r="J71" s="230" t="str">
        <x:v>https://ir.mara.com/sec-filings/all-sec-filings/content/0001507605-26-000022/mara-20260630.htm</x:v>
      </x:c>
    </x:row>
    <x:row r="72">
      <x:c r="A72" s="226" t="str">
        <x:v>Capital stack</x:v>
      </x:c>
      <x:c r="B72" s="227" t="str">
        <x:v>MARA</x:v>
      </x:c>
      <x:c r="C72" s="222" t="str">
        <x:v>BTC pledged</x:v>
      </x:c>
      <x:c r="D72" s="232" t="n">
        <x:v>4528</x:v>
      </x:c>
      <x:c r="E72" s="222" t="str">
        <x:v>BTC</x:v>
      </x:c>
      <x:c r="F72" s="222" t="str">
        <x:v>2026-06-30</x:v>
      </x:c>
      <x:c r="G72" s="222" t="str">
        <x:v>Reported</x:v>
      </x:c>
      <x:c r="H72" s="222" t="str">
        <x:v>Complete</x:v>
      </x:c>
      <x:c r="I72" s="222" t="str">
        <x:v>MARA 10-Q</x:v>
      </x:c>
      <x:c r="J72" s="230" t="str">
        <x:v>https://ir.mara.com/sec-filings/all-sec-filings/content/0001507605-26-000022/mara-20260630.htm</x:v>
      </x:c>
    </x:row>
    <x:row r="73">
      <x:c r="A73" s="226" t="str">
        <x:v>Dilution</x:v>
      </x:c>
      <x:c r="B73" s="227" t="str">
        <x:v>MARA</x:v>
      </x:c>
      <x:c r="C73" s="222" t="str">
        <x:v>Common shares outstanding</x:v>
      </x:c>
      <x:c r="D73" s="232" t="n">
        <x:v>386.299297</x:v>
      </x:c>
      <x:c r="E73" s="222" t="str">
        <x:v>million shares</x:v>
      </x:c>
      <x:c r="F73" s="222" t="str">
        <x:v>2026-07-30</x:v>
      </x:c>
      <x:c r="G73" s="222" t="str">
        <x:v>Reported</x:v>
      </x:c>
      <x:c r="H73" s="222" t="str">
        <x:v>Complete</x:v>
      </x:c>
      <x:c r="I73" s="222" t="str">
        <x:v>MARA 10-Q</x:v>
      </x:c>
      <x:c r="J73" s="230" t="str">
        <x:v>https://ir.mara.com/sec-filings/all-sec-filings/content/0001507605-26-000022/mara-20260630.htm</x:v>
      </x:c>
    </x:row>
    <x:row r="74">
      <x:c r="A74" s="226" t="str">
        <x:v>Dilution</x:v>
      </x:c>
      <x:c r="B74" s="227" t="str">
        <x:v>MARA</x:v>
      </x:c>
      <x:c r="C74" s="222" t="str">
        <x:v>RSUs</x:v>
      </x:c>
      <x:c r="D74" s="232" t="n">
        <x:v>12.385624</x:v>
      </x:c>
      <x:c r="E74" s="222" t="str">
        <x:v>million shares</x:v>
      </x:c>
      <x:c r="F74" s="222" t="str">
        <x:v>2026-Q2</x:v>
      </x:c>
      <x:c r="G74" s="222" t="str">
        <x:v>Reported anti-dilutive</x:v>
      </x:c>
      <x:c r="H74" s="222" t="str">
        <x:v>Complete</x:v>
      </x:c>
      <x:c r="I74" s="222" t="str">
        <x:v>MARA 10-Q</x:v>
      </x:c>
      <x:c r="J74" s="230" t="str">
        <x:v>https://ir.mara.com/sec-filings/all-sec-filings/content/0001507605-26-000022/mara-20260630.htm</x:v>
      </x:c>
    </x:row>
    <x:row r="75">
      <x:c r="A75" s="226" t="str">
        <x:v>Dilution</x:v>
      </x:c>
      <x:c r="B75" s="227" t="str">
        <x:v>MARA</x:v>
      </x:c>
      <x:c r="C75" s="222" t="str">
        <x:v>Maximum performance RSUs</x:v>
      </x:c>
      <x:c r="D75" s="232" t="n">
        <x:v>20.950294</x:v>
      </x:c>
      <x:c r="E75" s="222" t="str">
        <x:v>million shares</x:v>
      </x:c>
      <x:c r="F75" s="222" t="str">
        <x:v>2026-Q2</x:v>
      </x:c>
      <x:c r="G75" s="222" t="str">
        <x:v>Reported at 249% maximum</x:v>
      </x:c>
      <x:c r="H75" s="222" t="str">
        <x:v>Complete</x:v>
      </x:c>
      <x:c r="I75" s="222" t="str">
        <x:v>MARA 10-Q</x:v>
      </x:c>
      <x:c r="J75" s="230" t="str">
        <x:v>https://ir.mara.com/sec-filings/all-sec-filings/content/0001507605-26-000022/mara-20260630.htm</x:v>
      </x:c>
    </x:row>
    <x:row r="76">
      <x:c r="A76" s="226" t="str">
        <x:v>Dilution</x:v>
      </x:c>
      <x:c r="B76" s="227" t="str">
        <x:v>MARA</x:v>
      </x:c>
      <x:c r="C76" s="222" t="str">
        <x:v>Convertible-note shares</x:v>
      </x:c>
      <x:c r="D76" s="232" t="n">
        <x:v>49.355929</x:v>
      </x:c>
      <x:c r="E76" s="222" t="str">
        <x:v>million shares</x:v>
      </x:c>
      <x:c r="F76" s="222" t="str">
        <x:v>2026-Q2</x:v>
      </x:c>
      <x:c r="G76" s="222" t="str">
        <x:v>Reported anti-dilutive</x:v>
      </x:c>
      <x:c r="H76" s="222" t="str">
        <x:v>Complete</x:v>
      </x:c>
      <x:c r="I76" s="222" t="str">
        <x:v>MARA 10-Q</x:v>
      </x:c>
      <x:c r="J76" s="230" t="str">
        <x:v>https://ir.mara.com/sec-filings/all-sec-filings/content/0001507605-26-000022/mara-20260630.htm</x:v>
      </x:c>
    </x:row>
    <x:row r="77">
      <x:c r="A77" s="226" t="str">
        <x:v>ATM</x:v>
      </x:c>
      <x:c r="B77" s="227" t="str">
        <x:v>MARA</x:v>
      </x:c>
      <x:c r="C77" s="222" t="str">
        <x:v>Remaining capacity</x:v>
      </x:c>
      <x:c r="D77" s="232" t="n">
        <x:v>1500</x:v>
      </x:c>
      <x:c r="E77" s="222" t="str">
        <x:v>USD million</x:v>
      </x:c>
      <x:c r="F77" s="222" t="str">
        <x:v>2026-06-30</x:v>
      </x:c>
      <x:c r="G77" s="222" t="str">
        <x:v>Reported approximate</x:v>
      </x:c>
      <x:c r="H77" s="222" t="str">
        <x:v>Complete</x:v>
      </x:c>
      <x:c r="I77" s="222" t="str">
        <x:v>MARA 10-Q</x:v>
      </x:c>
      <x:c r="J77" s="230" t="str">
        <x:v>https://ir.mara.com/sec-filings/all-sec-filings/content/0001507605-26-000022/mara-20260630.htm</x:v>
      </x:c>
    </x:row>
    <x:row r="78">
      <x:c r="A78" s="226" t="str">
        <x:v>Mining</x:v>
      </x:c>
      <x:c r="B78" s="227" t="str">
        <x:v>MARA</x:v>
      </x:c>
      <x:c r="C78" s="222" t="str">
        <x:v>Energized hashrate</x:v>
      </x:c>
      <x:c r="D78" s="232" t="n">
        <x:v>70.3</x:v>
      </x:c>
      <x:c r="E78" s="222" t="str">
        <x:v>EH/s</x:v>
      </x:c>
      <x:c r="F78" s="222" t="str">
        <x:v>2026-Q2</x:v>
      </x:c>
      <x:c r="G78" s="222" t="str">
        <x:v>Reported</x:v>
      </x:c>
      <x:c r="H78" s="222" t="str">
        <x:v>Complete</x:v>
      </x:c>
      <x:c r="I78" s="222" t="str">
        <x:v>MARA 10-Q</x:v>
      </x:c>
      <x:c r="J78" s="230" t="str">
        <x:v>https://ir.mara.com/sec-filings/all-sec-filings/content/0001507605-26-000022/mara-20260630.htm</x:v>
      </x:c>
    </x:row>
    <x:row r="79">
      <x:c r="A79" s="226" t="str">
        <x:v>Mining</x:v>
      </x:c>
      <x:c r="B79" s="227" t="str">
        <x:v>MARA</x:v>
      </x:c>
      <x:c r="C79" s="222" t="str">
        <x:v>Fleet efficiency</x:v>
      </x:c>
      <x:c r="D79" s="232" t="n">
        <x:v>17.3</x:v>
      </x:c>
      <x:c r="E79" s="222" t="str">
        <x:v>J/TH</x:v>
      </x:c>
      <x:c r="F79" s="222" t="str">
        <x:v>2026-Q2</x:v>
      </x:c>
      <x:c r="G79" s="222" t="str">
        <x:v>Reported</x:v>
      </x:c>
      <x:c r="H79" s="222" t="str">
        <x:v>Complete</x:v>
      </x:c>
      <x:c r="I79" s="222" t="str">
        <x:v>MARA 10-Q</x:v>
      </x:c>
      <x:c r="J79" s="230" t="str">
        <x:v>https://ir.mara.com/sec-filings/all-sec-filings/content/0001507605-26-000022/mara-20260630.htm</x:v>
      </x:c>
    </x:row>
    <x:row r="80">
      <x:c r="A80" s="226" t="str">
        <x:v>Mining</x:v>
      </x:c>
      <x:c r="B80" s="227" t="str">
        <x:v>MARA</x:v>
      </x:c>
      <x:c r="C80" s="222" t="str">
        <x:v>BTC production</x:v>
      </x:c>
      <x:c r="D80" s="232" t="n">
        <x:v>2422</x:v>
      </x:c>
      <x:c r="E80" s="222" t="str">
        <x:v>BTC</x:v>
      </x:c>
      <x:c r="F80" s="222" t="str">
        <x:v>2026-Q2</x:v>
      </x:c>
      <x:c r="G80" s="222" t="str">
        <x:v>Reported</x:v>
      </x:c>
      <x:c r="H80" s="222" t="str">
        <x:v>Complete</x:v>
      </x:c>
      <x:c r="I80" s="222" t="str">
        <x:v>MARA 10-Q</x:v>
      </x:c>
      <x:c r="J80" s="230" t="str">
        <x:v>https://ir.mara.com/sec-filings/all-sec-filings/content/0001507605-26-000022/mara-20260630.htm</x:v>
      </x:c>
    </x:row>
    <x:row r="81">
      <x:c r="A81" s="226" t="str">
        <x:v>Mining</x:v>
      </x:c>
      <x:c r="B81" s="227" t="str">
        <x:v>MARA</x:v>
      </x:c>
      <x:c r="C81" s="222" t="str">
        <x:v>Energy cost per BTC</x:v>
      </x:c>
      <x:c r="D81" s="232" t="n">
        <x:v>38690</x:v>
      </x:c>
      <x:c r="E81" s="222" t="str">
        <x:v>USD/BTC</x:v>
      </x:c>
      <x:c r="F81" s="222" t="str">
        <x:v>2026-Q2</x:v>
      </x:c>
      <x:c r="G81" s="222" t="str">
        <x:v>Reported owned sites</x:v>
      </x:c>
      <x:c r="H81" s="222" t="str">
        <x:v>Complete</x:v>
      </x:c>
      <x:c r="I81" s="222" t="str">
        <x:v>MARA 10-Q</x:v>
      </x:c>
      <x:c r="J81" s="230" t="str">
        <x:v>https://ir.mara.com/sec-filings/all-sec-filings/content/0001507605-26-000022/mara-20260630.htm</x:v>
      </x:c>
    </x:row>
    <x:row r="82">
      <x:c r="A82" s="226" t="str">
        <x:v>Capex</x:v>
      </x:c>
      <x:c r="B82" s="227" t="str">
        <x:v>MARA</x:v>
      </x:c>
      <x:c r="C82" s="222" t="str">
        <x:v>Purchase of property/equipment</x:v>
      </x:c>
      <x:c r="D82" s="232" t="n">
        <x:v>94.303</x:v>
      </x:c>
      <x:c r="E82" s="222" t="str">
        <x:v>USD million</x:v>
      </x:c>
      <x:c r="F82" s="222" t="str">
        <x:v>2026-H1</x:v>
      </x:c>
      <x:c r="G82" s="222" t="str">
        <x:v>Reported cash flow</x:v>
      </x:c>
      <x:c r="H82" s="222" t="str">
        <x:v>Complete</x:v>
      </x:c>
      <x:c r="I82" s="222" t="str">
        <x:v>MARA 10-Q</x:v>
      </x:c>
      <x:c r="J82" s="230" t="str">
        <x:v>https://ir.mara.com/sec-filings/all-sec-filings/content/0001507605-26-000022/mara-20260630.htm</x:v>
      </x:c>
    </x:row>
    <x:row r="83">
      <x:c r="A83" s="226" t="str">
        <x:v>HPC</x:v>
      </x:c>
      <x:c r="B83" s="227" t="str">
        <x:v>MARA</x:v>
      </x:c>
      <x:c r="C83" s="222" t="str">
        <x:v>Matagorda power access</x:v>
      </x:c>
      <x:c r="D83" s="232" t="n">
        <x:v>2000</x:v>
      </x:c>
      <x:c r="E83" s="222" t="str">
        <x:v>MW</x:v>
      </x:c>
      <x:c r="F83" s="222" t="str">
        <x:v>2026-07</x:v>
      </x:c>
      <x:c r="G83" s="222" t="str">
        <x:v>Reported site right</x:v>
      </x:c>
      <x:c r="H83" s="222" t="str">
        <x:v>Complete</x:v>
      </x:c>
      <x:c r="I83" s="222" t="str">
        <x:v>MARA 10-Q</x:v>
      </x:c>
      <x:c r="J83" s="230" t="str">
        <x:v>https://ir.mara.com/sec-filings/all-sec-filings/content/0001507605-26-000022/mara-20260630.htm</x:v>
      </x:c>
    </x:row>
    <x:row r="84">
      <x:c r="A84" s="226" t="str">
        <x:v>HPC</x:v>
      </x:c>
      <x:c r="B84" s="227" t="str">
        <x:v>MARA</x:v>
      </x:c>
      <x:c r="C84" s="222" t="str">
        <x:v>Matagorda purchase price</x:v>
      </x:c>
      <x:c r="D84" s="232" t="n">
        <x:v>600</x:v>
      </x:c>
      <x:c r="E84" s="222" t="str">
        <x:v>USD million maximum</x:v>
      </x:c>
      <x:c r="F84" s="222" t="str">
        <x:v>2026-07</x:v>
      </x:c>
      <x:c r="G84" s="222" t="str">
        <x:v>Milestone-based</x:v>
      </x:c>
      <x:c r="H84" s="222" t="str">
        <x:v>Complete</x:v>
      </x:c>
      <x:c r="I84" s="222" t="str">
        <x:v>MARA 10-Q</x:v>
      </x:c>
      <x:c r="J84" s="230" t="str">
        <x:v>https://ir.mara.com/sec-filings/all-sec-filings/content/0001507605-26-000022/mara-20260630.htm</x:v>
      </x:c>
    </x:row>
    <x:row r="85">
      <x:c r="A85" s="226" t="str">
        <x:v>HPC</x:v>
      </x:c>
      <x:c r="B85" s="227" t="str">
        <x:v>MARA</x:v>
      </x:c>
      <x:c r="C85" s="222" t="str">
        <x:v>Incremental BTC-backed facilities</x:v>
      </x:c>
      <x:c r="D85" s="232" t="n">
        <x:v>600</x:v>
      </x:c>
      <x:c r="E85" s="222" t="str">
        <x:v>USD million</x:v>
      </x:c>
      <x:c r="F85" s="222" t="str">
        <x:v>2026-08-04</x:v>
      </x:c>
      <x:c r="G85" s="222" t="str">
        <x:v>Reported subsequent event</x:v>
      </x:c>
      <x:c r="H85" s="222" t="str">
        <x:v>Complete</x:v>
      </x:c>
      <x:c r="I85" s="222" t="str">
        <x:v>MARA 10-Q</x:v>
      </x:c>
      <x:c r="J85" s="230" t="str">
        <x:v>https://ir.mara.com/sec-filings/all-sec-filings/content/0001507605-26-000022/mara-20260630.htm</x:v>
      </x:c>
    </x:row>
    <x:row r="86">
      <x:c r="A86" s="226" t="str">
        <x:v>HPC</x:v>
      </x:c>
      <x:c r="B86" s="227" t="str">
        <x:v>MARA</x:v>
      </x:c>
      <x:c r="C86" s="222" t="str">
        <x:v>Customer contract economics</x:v>
      </x:c>
      <x:c r="D86" s="232"/>
      <x:c r="E86" s="222" t="str">
        <x:v>USD</x:v>
      </x:c>
      <x:c r="F86" s="222" t="str">
        <x:v>2026-08</x:v>
      </x:c>
      <x:c r="G86" s="222" t="str">
        <x:v>No signed tenant economics disclosed</x:v>
      </x:c>
      <x:c r="H86" s="222" t="str">
        <x:v>Missing</x:v>
      </x:c>
      <x:c r="I86" s="222" t="str">
        <x:v>MARA filings</x:v>
      </x:c>
      <x:c r="J86" s="230" t="str">
        <x:v>https://ir.mara.com/sec-filings/all-sec-filings/content/0001507605-26-000022/mara-20260630.htm</x:v>
      </x:c>
    </x:row>
    <x:row r="87">
      <x:c r="A87" s="226" t="str">
        <x:v>History</x:v>
      </x:c>
      <x:c r="B87" s="227" t="str">
        <x:v>All</x:v>
      </x:c>
      <x:c r="C87" s="222" t="str">
        <x:v>Official/adjusted daily return series</x:v>
      </x:c>
      <x:c r="D87" s="232"/>
      <x:c r="E87" s="222" t="str">
        <x:v>Daily returns</x:v>
      </x:c>
      <x:c r="F87" s="222" t="str">
        <x:v>2–3 years</x:v>
      </x:c>
      <x:c r="G87" s="222" t="str">
        <x:v>Not retrieved; ABTC/XXI have short listing histories</x:v>
      </x:c>
      <x:c r="H87" s="222" t="str">
        <x:v>Missing</x:v>
      </x:c>
      <x:c r="I87" s="222" t="str">
        <x:v>Licensed exchange-grade market dataset</x:v>
      </x:c>
      <x:c r="J87" s="230" t="str"/>
    </x:row>
    <x:row r="88">
      <x:c r="A88" s="226" t="str">
        <x:v>Guidance</x:v>
      </x:c>
      <x:c r="B88" s="227" t="str">
        <x:v>All miners</x:v>
      </x:c>
      <x:c r="C88" s="222" t="str">
        <x:v>Complete 24-month operating guidance</x:v>
      </x:c>
      <x:c r="D88" s="232"/>
      <x:c r="E88" s="222" t="str">
        <x:v>Company forecast</x:v>
      </x:c>
      <x:c r="F88" s="222" t="str">
        <x:v>Next 24 months</x:v>
      </x:c>
      <x:c r="G88" s="222" t="str">
        <x:v>Only targets/milestones disclosed</x:v>
      </x:c>
      <x:c r="H88" s="222" t="str">
        <x:v>Partial</x:v>
      </x:c>
      <x:c r="I88" s="222" t="str">
        <x:v>IR guidance and future filings</x:v>
      </x:c>
      <x:c r="J88" s="230" t="str"/>
    </x:row>
    <x:row r="89">
      <x:c r="A89" s="226" t="str">
        <x:v>Power</x:v>
      </x:c>
      <x:c r="B89" s="227" t="str">
        <x:v>ABTC</x:v>
      </x:c>
      <x:c r="C89" s="222" t="str">
        <x:v>Standalone power contract economics</x:v>
      </x:c>
      <x:c r="D89" s="232"/>
      <x:c r="E89" s="222" t="str">
        <x:v>USD/MWh</x:v>
      </x:c>
      <x:c r="F89" s="222" t="str">
        <x:v>Current</x:v>
      </x:c>
      <x:c r="G89" s="222" t="str">
        <x:v>Operates through Hut 8 arrangements; exact bridge not extracted</x:v>
      </x:c>
      <x:c r="H89" s="222" t="str">
        <x:v>Missing</x:v>
      </x:c>
      <x:c r="I89" s="222" t="str">
        <x:v>ABTC/Hut 8 agreements</x:v>
      </x:c>
      <x:c r="J89" s="230" t="str"/>
    </x:row>
    <x:row r="90">
      <x:c r="A90" s="226" t="str">
        <x:v>Power</x:v>
      </x:c>
      <x:c r="B90" s="227" t="str">
        <x:v>CLSK/MARA</x:v>
      </x:c>
      <x:c r="C90" s="222" t="str">
        <x:v>Complete power-price curves</x:v>
      </x:c>
      <x:c r="D90" s="232"/>
      <x:c r="E90" s="222" t="str">
        <x:v>USD/MWh</x:v>
      </x:c>
      <x:c r="F90" s="222" t="str">
        <x:v>Next 24 months</x:v>
      </x:c>
      <x:c r="G90" s="222" t="str">
        <x:v>Site/capacity disclosed; full price curves absent</x:v>
      </x:c>
      <x:c r="H90" s="222" t="str">
        <x:v>Missing</x:v>
      </x:c>
      <x:c r="I90" s="222" t="str">
        <x:v>Contracts / utility filings</x:v>
      </x:c>
      <x:c r="J90" s="230" t="str"/>
    </x:row>
    <x:row r="91">
      <x:c r="A91" s="228" t="str">
        <x:v>Quality</x:v>
      </x:c>
      <x:c r="B91" s="229" t="str">
        <x:v>All</x:v>
      </x:c>
      <x:c r="C91" s="223" t="str">
        <x:v>As-of-date discipline</x:v>
      </x:c>
      <x:c r="D91" s="233" t="str">
        <x:v>Market: 2026-08-25; filings vary</x:v>
      </x:c>
      <x:c r="E91" s="223" t="str">
        <x:v>Dates</x:v>
      </x:c>
      <x:c r="F91" s="223" t="str">
        <x:v>2026-08-27 refresh</x:v>
      </x:c>
      <x:c r="G91" s="223" t="str">
        <x:v>Do not mix without roll-forward</x:v>
      </x:c>
      <x:c r="H91" s="223" t="str">
        <x:v>Complete</x:v>
      </x:c>
      <x:c r="I91" s="223" t="str">
        <x:v>Source schedule above</x:v>
      </x:c>
      <x:c r="J91" s="231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14" hidden="0" customWidth="1"/>
    <x:col min="5" max="5" width="17" hidden="0" customWidth="1"/>
    <x:col min="6" max="6" width="19" hidden="0" customWidth="1"/>
    <x:col min="7" max="7" width="14" hidden="0" customWidth="1"/>
    <x:col min="8" max="8" width="14" hidden="0" customWidth="1"/>
    <x:col min="9" max="9" width="20" hidden="0" customWidth="1"/>
    <x:col min="10" max="10" width="14" hidden="0" customWidth="1"/>
    <x:col min="11" max="11" width="18" hidden="0" customWidth="1"/>
    <x:col min="12" max="12" width="18" hidden="0" customWidth="1"/>
    <x:col min="13" max="13" width="17" hidden="0" customWidth="1"/>
    <x:col min="14" max="14" width="16" hidden="0" customWidth="1"/>
    <x:col min="15" max="15" width="14" hidden="0" customWidth="1"/>
    <x:col min="16" max="16" width="18" hidden="0" customWidth="1"/>
    <x:col min="17" max="17" width="18" hidden="0" customWidth="1"/>
    <x:col min="18" max="18" width="18" hidden="0" customWidth="1"/>
    <x:col min="19" max="19" width="15" hidden="0" customWidth="1"/>
    <x:col min="20" max="20" width="13" hidden="0" customWidth="1"/>
    <x:col min="21" max="21" width="17" hidden="0" customWidth="1"/>
    <x:col min="22" max="22" width="15" hidden="0" customWidth="1"/>
    <x:col min="23" max="23" width="17" hidden="0" customWidth="1"/>
    <x:col min="24" max="24" width="17" hidden="0" customWidth="1"/>
    <x:col min="25" max="25" width="16" hidden="0" customWidth="1"/>
  </x:cols>
  <x:sheetData>
    <x:row r="1" ht="28" customHeight="1">
      <x:c r="A1" s="266" t="str">
        <x:v>Stage 4 Model Assumptions and Source Inputs</x:v>
      </x:c>
      <x:c r="B1" s="266"/>
      <x:c r="C1" s="266"/>
      <x:c r="D1" s="266"/>
      <x:c r="E1" s="266"/>
      <x:c r="F1" s="266"/>
      <x:c r="G1" s="266"/>
      <x:c r="H1" s="266"/>
      <x:c r="I1" s="266"/>
      <x:c r="J1" s="266"/>
      <x:c r="K1" s="266"/>
      <x:c r="L1" s="266"/>
      <x:c r="M1" s="266"/>
      <x:c r="N1" s="266"/>
      <x:c r="O1" s="266"/>
      <x:c r="P1" s="266"/>
      <x:c r="Q1" s="266"/>
      <x:c r="R1" s="266"/>
      <x:c r="S1" s="266"/>
      <x:c r="T1" s="266"/>
      <x:c r="U1" s="266"/>
      <x:c r="V1" s="266"/>
      <x:c r="W1" s="266"/>
      <x:c r="X1" s="266"/>
      <x:c r="Y1" s="266"/>
    </x:row>
    <x:row r="2" ht="30" customHeight="1">
      <x:c r="A2" s="269" t="str">
        <x:v>Black values are reported/source-backed inputs. Blue values are editable forecast assumptions. Green formulas link to other workbook sheets. No automatic valuation-multiple expansion is used.</x:v>
      </x:c>
      <x:c r="B2" s="269"/>
      <x:c r="C2" s="269"/>
      <x:c r="D2" s="269"/>
      <x:c r="E2" s="269"/>
      <x:c r="F2" s="269"/>
      <x:c r="G2" s="269"/>
      <x:c r="H2" s="269"/>
      <x:c r="I2" s="269"/>
      <x:c r="J2" s="269"/>
      <x:c r="K2" s="269"/>
      <x:c r="L2" s="269"/>
      <x:c r="M2" s="269"/>
      <x:c r="N2" s="269"/>
      <x:c r="O2" s="269"/>
      <x:c r="P2" s="269"/>
      <x:c r="Q2" s="269"/>
      <x:c r="R2" s="269"/>
      <x:c r="S2" s="269"/>
      <x:c r="T2" s="269"/>
      <x:c r="U2" s="269"/>
      <x:c r="V2" s="269"/>
      <x:c r="W2" s="269"/>
      <x:c r="X2" s="269"/>
      <x:c r="Y2" s="269"/>
    </x:row>
    <x:row r="4">
      <x:c r="A4" s="271" t="str">
        <x:v>Scenario Inputs</x:v>
      </x:c>
      <x:c r="B4" s="271"/>
      <x:c r="C4" s="271"/>
      <x:c r="D4" s="271"/>
      <x:c r="E4" s="271"/>
      <x:c r="F4" s="271"/>
    </x:row>
    <x:row r="5" ht="34" customHeight="1">
      <x:c r="A5" s="275" t="str">
        <x:v>Scenario</x:v>
      </x:c>
      <x:c r="B5" s="275" t="str">
        <x:v>BTC multiple</x:v>
      </x:c>
      <x:c r="C5" s="275" t="str">
        <x:v>Terminal BTC USD</x:v>
      </x:c>
      <x:c r="D5" s="275" t="str">
        <x:v>BTC return</x:v>
      </x:c>
      <x:c r="E5" s="275" t="str">
        <x:v>Difficulty increase</x:v>
      </x:c>
      <x:c r="F5" s="275" t="str">
        <x:v>Horizon months</x:v>
      </x:c>
    </x:row>
    <x:row r="6">
      <x:c r="A6" s="279" t="str">
        <x:v>BTC +50%</x:v>
      </x:c>
      <x:c r="B6" s="285" t="n">
        <x:v>1.5</x:v>
      </x:c>
      <x:c r="C6" s="287" t="n">
        <x:f>Assumptions!$L$7*B6</x:f>
        <x:v>117766.845</x:v>
      </x:c>
      <x:c r="D6" s="289" t="n">
        <x:v>0.5</x:v>
      </x:c>
      <x:c r="E6" s="289" t="n">
        <x:v>0.25</x:v>
      </x:c>
      <x:c r="F6" s="291" t="n">
        <x:v>24</x:v>
      </x:c>
    </x:row>
    <x:row r="7">
      <x:c r="A7" s="279" t="str">
        <x:v>BTC +100%</x:v>
      </x:c>
      <x:c r="B7" s="285" t="n">
        <x:v>2</x:v>
      </x:c>
      <x:c r="C7" s="287" t="n">
        <x:f>Assumptions!$L$7*B7</x:f>
        <x:v>157022.46</x:v>
      </x:c>
      <x:c r="D7" s="289" t="n">
        <x:v>1</x:v>
      </x:c>
      <x:c r="E7" s="289" t="n">
        <x:v>0.45</x:v>
      </x:c>
      <x:c r="F7" s="291" t="n">
        <x:v>24</x:v>
      </x:c>
    </x:row>
    <x:row r="8">
      <x:c r="A8" s="280" t="str">
        <x:v>BTC +200%</x:v>
      </x:c>
      <x:c r="B8" s="286" t="n">
        <x:v>3</x:v>
      </x:c>
      <x:c r="C8" s="288" t="n">
        <x:f>Assumptions!$L$7*B8</x:f>
        <x:v>235533.69</x:v>
      </x:c>
      <x:c r="D8" s="290" t="n">
        <x:v>2</x:v>
      </x:c>
      <x:c r="E8" s="290" t="n">
        <x:v>0.8</x:v>
      </x:c>
      <x:c r="F8" s="292" t="n">
        <x:v>24</x:v>
      </x:c>
    </x:row>
    <x:row r="10">
      <x:c r="A10" s="271" t="str">
        <x:v>Company Base Inputs</x:v>
      </x:c>
      <x:c r="B10" s="271"/>
      <x:c r="C10" s="271"/>
      <x:c r="D10" s="271"/>
      <x:c r="E10" s="271"/>
      <x:c r="F10" s="271"/>
      <x:c r="G10" s="271"/>
      <x:c r="H10" s="271"/>
      <x:c r="I10" s="271"/>
      <x:c r="J10" s="271"/>
      <x:c r="K10" s="271"/>
      <x:c r="L10" s="271"/>
      <x:c r="M10" s="271"/>
      <x:c r="N10" s="271"/>
      <x:c r="O10" s="271"/>
      <x:c r="P10" s="271"/>
      <x:c r="Q10" s="271"/>
      <x:c r="R10" s="271"/>
      <x:c r="S10" s="271"/>
      <x:c r="T10" s="271"/>
      <x:c r="U10" s="271"/>
      <x:c r="V10" s="271"/>
      <x:c r="W10" s="271"/>
      <x:c r="X10" s="271"/>
      <x:c r="Y10" s="271"/>
    </x:row>
    <x:row r="11" ht="34" customHeight="1">
      <x:c r="A11" s="275" t="str">
        <x:v>Company</x:v>
      </x:c>
      <x:c r="B11" s="275" t="str">
        <x:v>Ticker</x:v>
      </x:c>
      <x:c r="C11" s="275" t="str">
        <x:v>Type</x:v>
      </x:c>
      <x:c r="D11" s="275" t="str">
        <x:v>Price USD</x:v>
      </x:c>
      <x:c r="E11" s="275" t="str">
        <x:v>Model shares M</x:v>
      </x:c>
      <x:c r="F11" s="275" t="str">
        <x:v>Market-cap shares M</x:v>
      </x:c>
      <x:c r="G11" s="275" t="str">
        <x:v>BTC held</x:v>
      </x:c>
      <x:c r="H11" s="275" t="str">
        <x:v>Cash M</x:v>
      </x:c>
      <x:c r="I11" s="275" t="str">
        <x:v>Debt / debt-equivalent M</x:v>
      </x:c>
      <x:c r="J11" s="275" t="str">
        <x:v>Preferred M</x:v>
      </x:c>
      <x:c r="K11" s="275" t="str">
        <x:v>Current NAV multiple</x:v>
      </x:c>
      <x:c r="L11" s="275" t="str">
        <x:v>Quarterly BTC production</x:v>
      </x:c>
      <x:c r="M11" s="275" t="str">
        <x:v>Cash cost / BTC</x:v>
      </x:c>
      <x:c r="N11" s="275" t="str">
        <x:v>Annual capex M</x:v>
      </x:c>
      <x:c r="O11" s="275" t="str">
        <x:v>BTC hold rate</x:v>
      </x:c>
      <x:c r="P11" s="275" t="str">
        <x:v>Mining EV / EBITDA</x:v>
      </x:c>
      <x:c r="Q11" s="275" t="str">
        <x:v>ATM capacity M</x:v>
      </x:c>
      <x:c r="R11" s="275" t="str">
        <x:v>ATM share to BTC</x:v>
      </x:c>
      <x:c r="S11" s="275" t="str">
        <x:v>Efficiency gain</x:v>
      </x:c>
      <x:c r="T11" s="275" t="str">
        <x:v>HPC MW</x:v>
      </x:c>
      <x:c r="U11" s="275" t="str">
        <x:v>HPC NOI / MW M</x:v>
      </x:c>
      <x:c r="V11" s="275" t="str">
        <x:v>HPC multiple</x:v>
      </x:c>
      <x:c r="W11" s="275" t="str">
        <x:v>HPC probability</x:v>
      </x:c>
      <x:c r="X11" s="275" t="str">
        <x:v>Convert shares M</x:v>
      </x:c>
      <x:c r="Y11" s="275" t="str">
        <x:v>Conversion price</x:v>
      </x:c>
    </x:row>
    <x:row r="12">
      <x:c r="A12" s="279" t="str">
        <x:v>Strategy</x:v>
      </x:c>
      <x:c r="B12" s="279" t="str">
        <x:v>MSTR</x:v>
      </x:c>
      <x:c r="C12" s="279" t="str">
        <x:v>Treasury</x:v>
      </x:c>
      <x:c r="D12" s="293" t="n">
        <x:v>126.83</x:v>
      </x:c>
      <x:c r="E12" s="295" t="n">
        <x:v>445.559</x:v>
      </x:c>
      <x:c r="F12" s="295" t="n">
        <x:v>445.559</x:v>
      </x:c>
      <x:c r="G12" s="297" t="n">
        <x:v>840447</x:v>
      </x:c>
      <x:c r="H12" s="299" t="n">
        <x:v>6690</x:v>
      </x:c>
      <x:c r="I12" s="299" t="n">
        <x:v>6754</x:v>
      </x:c>
      <x:c r="J12" s="299" t="n">
        <x:v>15239</x:v>
      </x:c>
      <x:c r="K12" s="301" t="n">
        <x:f>(D12*F12)/(G12*Assumptions!$L$7/1000000+H12-I12-J12)</x:f>
        <x:v>1.115006798579825</x:v>
      </x:c>
      <x:c r="L12" s="297"/>
      <x:c r="M12" s="302"/>
      <x:c r="N12" s="299"/>
      <x:c r="O12" s="304"/>
      <x:c r="P12" s="306"/>
      <x:c r="Q12" s="299"/>
      <x:c r="R12" s="304"/>
      <x:c r="S12" s="304"/>
      <x:c r="T12" s="297"/>
      <x:c r="U12" s="293"/>
      <x:c r="V12" s="306"/>
      <x:c r="W12" s="304"/>
      <x:c r="X12" s="295"/>
      <x:c r="Y12" s="293"/>
    </x:row>
    <x:row r="13">
      <x:c r="A13" s="279" t="str">
        <x:v>Metaplanet</x:v>
      </x:c>
      <x:c r="B13" s="279" t="str">
        <x:v>3350.T</x:v>
      </x:c>
      <x:c r="C13" s="279" t="str">
        <x:v>Treasury</x:v>
      </x:c>
      <x:c r="D13" s="293" t="n">
        <x:v>2.072603944228112</x:v>
      </x:c>
      <x:c r="E13" s="295" t="n">
        <x:v>1631.5442</x:v>
      </x:c>
      <x:c r="F13" s="295" t="n">
        <x:v>1631.5442</x:v>
      </x:c>
      <x:c r="G13" s="297" t="n">
        <x:v>43000</x:v>
      </x:c>
      <x:c r="H13" s="299" t="n">
        <x:v>0</x:v>
      </x:c>
      <x:c r="I13" s="299" t="n">
        <x:v>464.07</x:v>
      </x:c>
      <x:c r="J13" s="299" t="n">
        <x:v>148.14</x:v>
      </x:c>
      <x:c r="K13" s="301" t="n">
        <x:f>(D13*F13)/(G13*Assumptions!$L$7/1000000+H13-I13-J13)</x:f>
        <x:v>1.223524898278635</x:v>
      </x:c>
      <x:c r="L13" s="297"/>
      <x:c r="M13" s="302"/>
      <x:c r="N13" s="299"/>
      <x:c r="O13" s="304"/>
      <x:c r="P13" s="306"/>
      <x:c r="Q13" s="299"/>
      <x:c r="R13" s="304"/>
      <x:c r="S13" s="304"/>
      <x:c r="T13" s="297"/>
      <x:c r="U13" s="293"/>
      <x:c r="V13" s="306"/>
      <x:c r="W13" s="304"/>
      <x:c r="X13" s="295"/>
      <x:c r="Y13" s="293"/>
    </x:row>
    <x:row r="14">
      <x:c r="A14" s="279" t="str">
        <x:v>Twenty One Capital</x:v>
      </x:c>
      <x:c r="B14" s="279" t="str">
        <x:v>XXI</x:v>
      </x:c>
      <x:c r="C14" s="279" t="str">
        <x:v>Convertible treasury</x:v>
      </x:c>
      <x:c r="D14" s="293" t="n">
        <x:v>6.51</x:v>
      </x:c>
      <x:c r="E14" s="295" t="n">
        <x:v>364.928724</x:v>
      </x:c>
      <x:c r="F14" s="295" t="n">
        <x:v>346.807836</x:v>
      </x:c>
      <x:c r="G14" s="297" t="n">
        <x:v>43514</x:v>
      </x:c>
      <x:c r="H14" s="299" t="n">
        <x:v>114.057427</x:v>
      </x:c>
      <x:c r="I14" s="299" t="n">
        <x:v>486.5</x:v>
      </x:c>
      <x:c r="J14" s="299" t="n">
        <x:v>0</x:v>
      </x:c>
      <x:c r="K14" s="301" t="n">
        <x:f>(D14*F14)/(G14*Assumptions!$L$7/1000000+H14-I14-J14)</x:f>
        <x:v>0.7417203767487734</x:v>
      </x:c>
      <x:c r="L14" s="297"/>
      <x:c r="M14" s="302"/>
      <x:c r="N14" s="299"/>
      <x:c r="O14" s="304"/>
      <x:c r="P14" s="306"/>
      <x:c r="Q14" s="299"/>
      <x:c r="R14" s="304"/>
      <x:c r="S14" s="304"/>
      <x:c r="T14" s="297"/>
      <x:c r="U14" s="293"/>
      <x:c r="V14" s="306"/>
      <x:c r="W14" s="304"/>
      <x:c r="X14" s="295" t="n">
        <x:v>37.423077</x:v>
      </x:c>
      <x:c r="Y14" s="293" t="n">
        <x:v>13</x:v>
      </x:c>
    </x:row>
    <x:row r="15">
      <x:c r="A15" s="279" t="str">
        <x:v>American Bitcoin</x:v>
      </x:c>
      <x:c r="B15" s="279" t="str">
        <x:v>ABTC</x:v>
      </x:c>
      <x:c r="C15" s="279" t="str">
        <x:v>Miner</x:v>
      </x:c>
      <x:c r="D15" s="293" t="n">
        <x:v>9.24</x:v>
      </x:c>
      <x:c r="E15" s="295" t="n">
        <x:v>72.825077</x:v>
      </x:c>
      <x:c r="F15" s="295" t="n">
        <x:v>72.819713</x:v>
      </x:c>
      <x:c r="G15" s="297" t="n">
        <x:v>8002</x:v>
      </x:c>
      <x:c r="H15" s="299" t="n">
        <x:v>18.354</x:v>
      </x:c>
      <x:c r="I15" s="299" t="n">
        <x:v>500.622</x:v>
      </x:c>
      <x:c r="J15" s="299" t="n">
        <x:v>0</x:v>
      </x:c>
      <x:c r="K15" s="279"/>
      <x:c r="L15" s="297" t="n">
        <x:v>932</x:v>
      </x:c>
      <x:c r="M15" s="302" t="n">
        <x:v>36500</x:v>
      </x:c>
      <x:c r="N15" s="299" t="n">
        <x:v>100</x:v>
      </x:c>
      <x:c r="O15" s="304" t="n">
        <x:v>0.6</x:v>
      </x:c>
      <x:c r="P15" s="306" t="n">
        <x:v>5</x:v>
      </x:c>
      <x:c r="Q15" s="299" t="n">
        <x:v>1714.8</x:v>
      </x:c>
      <x:c r="R15" s="304" t="n">
        <x:v>0.5</x:v>
      </x:c>
      <x:c r="S15" s="304" t="n">
        <x:v>0.1</x:v>
      </x:c>
      <x:c r="T15" s="297" t="n">
        <x:v>0</x:v>
      </x:c>
      <x:c r="U15" s="293" t="n">
        <x:v>0</x:v>
      </x:c>
      <x:c r="V15" s="306" t="n">
        <x:v>0</x:v>
      </x:c>
      <x:c r="W15" s="304" t="n">
        <x:v>0</x:v>
      </x:c>
      <x:c r="X15" s="295" t="n">
        <x:v>0</x:v>
      </x:c>
      <x:c r="Y15" s="293" t="n">
        <x:v>0</x:v>
      </x:c>
    </x:row>
    <x:row r="16">
      <x:c r="A16" s="279" t="str">
        <x:v>CleanSpark</x:v>
      </x:c>
      <x:c r="B16" s="279" t="str">
        <x:v>CLSK</x:v>
      </x:c>
      <x:c r="C16" s="279" t="str">
        <x:v>Miner</x:v>
      </x:c>
      <x:c r="D16" s="293" t="n">
        <x:v>12.71</x:v>
      </x:c>
      <x:c r="E16" s="295" t="n">
        <x:v>319.212047</x:v>
      </x:c>
      <x:c r="F16" s="295" t="n">
        <x:v>256.79628</x:v>
      </x:c>
      <x:c r="G16" s="297" t="n">
        <x:v>13931</x:v>
      </x:c>
      <x:c r="H16" s="299" t="n">
        <x:v>202.601</x:v>
      </x:c>
      <x:c r="I16" s="299" t="n">
        <x:v>1770.878</x:v>
      </x:c>
      <x:c r="J16" s="299" t="n">
        <x:v>0</x:v>
      </x:c>
      <x:c r="K16" s="279"/>
      <x:c r="L16" s="297" t="n">
        <x:v>1758</x:v>
      </x:c>
      <x:c r="M16" s="302" t="n">
        <x:v>44317</x:v>
      </x:c>
      <x:c r="N16" s="299" t="n">
        <x:v>151</x:v>
      </x:c>
      <x:c r="O16" s="304" t="n">
        <x:v>0.4</x:v>
      </x:c>
      <x:c r="P16" s="306" t="n">
        <x:v>5</x:v>
      </x:c>
      <x:c r="Q16" s="299" t="n">
        <x:v>0</x:v>
      </x:c>
      <x:c r="R16" s="304" t="n">
        <x:v>0</x:v>
      </x:c>
      <x:c r="S16" s="304" t="n">
        <x:v>0.1</x:v>
      </x:c>
      <x:c r="T16" s="297" t="n">
        <x:v>175</x:v>
      </x:c>
      <x:c r="U16" s="293" t="n">
        <x:v>1.5</x:v>
      </x:c>
      <x:c r="V16" s="306" t="n">
        <x:v>10</x:v>
      </x:c>
      <x:c r="W16" s="304" t="n">
        <x:v>0.5</x:v>
      </x:c>
      <x:c r="X16" s="295" t="n">
        <x:v>0</x:v>
      </x:c>
      <x:c r="Y16" s="293" t="n">
        <x:v>0</x:v>
      </x:c>
    </x:row>
    <x:row r="17">
      <x:c r="A17" s="280" t="str">
        <x:v>MARA</x:v>
      </x:c>
      <x:c r="B17" s="280" t="str">
        <x:v>MARA</x:v>
      </x:c>
      <x:c r="C17" s="280" t="str">
        <x:v>Miner</x:v>
      </x:c>
      <x:c r="D17" s="294" t="n">
        <x:v>11.83</x:v>
      </x:c>
      <x:c r="E17" s="296" t="n">
        <x:v>468.991144</x:v>
      </x:c>
      <x:c r="F17" s="296" t="n">
        <x:v>386.299297</x:v>
      </x:c>
      <x:c r="G17" s="298" t="n">
        <x:v>35577</x:v>
      </x:c>
      <x:c r="H17" s="300" t="n">
        <x:v>421.3</x:v>
      </x:c>
      <x:c r="I17" s="300" t="n">
        <x:v>2447.201</x:v>
      </x:c>
      <x:c r="J17" s="300" t="n">
        <x:v>0</x:v>
      </x:c>
      <x:c r="K17" s="280"/>
      <x:c r="L17" s="298" t="n">
        <x:v>2422</x:v>
      </x:c>
      <x:c r="M17" s="303" t="n">
        <x:v>38690</x:v>
      </x:c>
      <x:c r="N17" s="300" t="n">
        <x:v>188.606</x:v>
      </x:c>
      <x:c r="O17" s="305" t="n">
        <x:v>0.2</x:v>
      </x:c>
      <x:c r="P17" s="307" t="n">
        <x:v>5</x:v>
      </x:c>
      <x:c r="Q17" s="300" t="n">
        <x:v>1500</x:v>
      </x:c>
      <x:c r="R17" s="305" t="n">
        <x:v>0.25</x:v>
      </x:c>
      <x:c r="S17" s="305" t="n">
        <x:v>0.08</x:v>
      </x:c>
      <x:c r="T17" s="298" t="n">
        <x:v>2000</x:v>
      </x:c>
      <x:c r="U17" s="294" t="n">
        <x:v>0.3</x:v>
      </x:c>
      <x:c r="V17" s="307" t="n">
        <x:v>1</x:v>
      </x:c>
      <x:c r="W17" s="305" t="n">
        <x:v>0.25</x:v>
      </x:c>
      <x:c r="X17" s="296" t="n">
        <x:v>0</x:v>
      </x:c>
      <x:c r="Y17" s="294" t="n">
        <x:v>0</x:v>
      </x:c>
    </x:row>
    <x:row r="20">
      <x:c r="A20" s="271" t="str">
        <x:v>Company-Scenario Forecast Assumptions</x:v>
      </x:c>
      <x:c r="B20" s="271"/>
      <x:c r="C20" s="271"/>
      <x:c r="D20" s="271"/>
      <x:c r="E20" s="271"/>
      <x:c r="F20" s="271"/>
      <x:c r="G20" s="271"/>
      <x:c r="H20" s="271"/>
      <x:c r="I20" s="271"/>
    </x:row>
    <x:row r="21" ht="34" customHeight="1">
      <x:c r="A21" s="275" t="str">
        <x:v>Company</x:v>
      </x:c>
      <x:c r="B21" s="275" t="str">
        <x:v>Ticker</x:v>
      </x:c>
      <x:c r="C21" s="275" t="str">
        <x:v>Scenario</x:v>
      </x:c>
      <x:c r="D21" s="275" t="str">
        <x:v>Treasury/common dilution</x:v>
      </x:c>
      <x:c r="E21" s="275" t="str">
        <x:v>Claim growth</x:v>
      </x:c>
      <x:c r="F21" s="275" t="str">
        <x:v>Hashrate factor</x:v>
      </x:c>
      <x:c r="G21" s="275" t="str">
        <x:v>ATM utilization</x:v>
      </x:c>
      <x:c r="H21" s="275" t="str">
        <x:v>Stock-comp dilution</x:v>
      </x:c>
      <x:c r="I21" s="275" t="str">
        <x:v>Primary sensitivity</x:v>
      </x:c>
    </x:row>
    <x:row r="22">
      <x:c r="A22" s="279" t="str">
        <x:v>Strategy</x:v>
      </x:c>
      <x:c r="B22" s="279" t="str">
        <x:v>MSTR</x:v>
      </x:c>
      <x:c r="C22" s="279" t="str">
        <x:v>BTC +50%</x:v>
      </x:c>
      <x:c r="D22" s="289" t="n">
        <x:v>0.12</x:v>
      </x:c>
      <x:c r="E22" s="289" t="n">
        <x:v>0.05</x:v>
      </x:c>
      <x:c r="F22" s="308" t="n">
        <x:v>0</x:v>
      </x:c>
      <x:c r="G22" s="289" t="n">
        <x:v>0</x:v>
      </x:c>
      <x:c r="H22" s="289" t="n">
        <x:v>0</x:v>
      </x:c>
      <x:c r="I22" s="279" t="str">
        <x:v>Issuance price and fixed charges</x:v>
      </x:c>
    </x:row>
    <x:row r="23">
      <x:c r="A23" s="279" t="str">
        <x:v>Strategy</x:v>
      </x:c>
      <x:c r="B23" s="279" t="str">
        <x:v>MSTR</x:v>
      </x:c>
      <x:c r="C23" s="279" t="str">
        <x:v>BTC +100%</x:v>
      </x:c>
      <x:c r="D23" s="289" t="n">
        <x:v>0.18</x:v>
      </x:c>
      <x:c r="E23" s="289" t="n">
        <x:v>0.1</x:v>
      </x:c>
      <x:c r="F23" s="308" t="n">
        <x:v>0</x:v>
      </x:c>
      <x:c r="G23" s="289" t="n">
        <x:v>0</x:v>
      </x:c>
      <x:c r="H23" s="289" t="n">
        <x:v>0</x:v>
      </x:c>
      <x:c r="I23" s="279" t="str">
        <x:v>Issuance price and fixed charges</x:v>
      </x:c>
    </x:row>
    <x:row r="24">
      <x:c r="A24" s="279" t="str">
        <x:v>Strategy</x:v>
      </x:c>
      <x:c r="B24" s="279" t="str">
        <x:v>MSTR</x:v>
      </x:c>
      <x:c r="C24" s="279" t="str">
        <x:v>BTC +200%</x:v>
      </x:c>
      <x:c r="D24" s="289" t="n">
        <x:v>0.28</x:v>
      </x:c>
      <x:c r="E24" s="289" t="n">
        <x:v>0.15</x:v>
      </x:c>
      <x:c r="F24" s="308" t="n">
        <x:v>0</x:v>
      </x:c>
      <x:c r="G24" s="289" t="n">
        <x:v>0</x:v>
      </x:c>
      <x:c r="H24" s="289" t="n">
        <x:v>0</x:v>
      </x:c>
      <x:c r="I24" s="279" t="str">
        <x:v>Issuance price and fixed charges</x:v>
      </x:c>
    </x:row>
    <x:row r="25">
      <x:c r="A25" s="279" t="str">
        <x:v>Metaplanet</x:v>
      </x:c>
      <x:c r="B25" s="279" t="str">
        <x:v>3350.T</x:v>
      </x:c>
      <x:c r="C25" s="279" t="str">
        <x:v>BTC +50%</x:v>
      </x:c>
      <x:c r="D25" s="289" t="n">
        <x:v>0.2</x:v>
      </x:c>
      <x:c r="E25" s="289" t="n">
        <x:v>0</x:v>
      </x:c>
      <x:c r="F25" s="308" t="n">
        <x:v>0</x:v>
      </x:c>
      <x:c r="G25" s="289" t="n">
        <x:v>0</x:v>
      </x:c>
      <x:c r="H25" s="289" t="n">
        <x:v>0</x:v>
      </x:c>
      <x:c r="I25" s="279" t="str">
        <x:v>Cash gap and equity issuance</x:v>
      </x:c>
    </x:row>
    <x:row r="26">
      <x:c r="A26" s="279" t="str">
        <x:v>Metaplanet</x:v>
      </x:c>
      <x:c r="B26" s="279" t="str">
        <x:v>3350.T</x:v>
      </x:c>
      <x:c r="C26" s="279" t="str">
        <x:v>BTC +100%</x:v>
      </x:c>
      <x:c r="D26" s="289" t="n">
        <x:v>0.35</x:v>
      </x:c>
      <x:c r="E26" s="289" t="n">
        <x:v>0.1</x:v>
      </x:c>
      <x:c r="F26" s="308" t="n">
        <x:v>0</x:v>
      </x:c>
      <x:c r="G26" s="289" t="n">
        <x:v>0</x:v>
      </x:c>
      <x:c r="H26" s="289" t="n">
        <x:v>0</x:v>
      </x:c>
      <x:c r="I26" s="279" t="str">
        <x:v>Cash gap and equity issuance</x:v>
      </x:c>
    </x:row>
    <x:row r="27">
      <x:c r="A27" s="279" t="str">
        <x:v>Metaplanet</x:v>
      </x:c>
      <x:c r="B27" s="279" t="str">
        <x:v>3350.T</x:v>
      </x:c>
      <x:c r="C27" s="279" t="str">
        <x:v>BTC +200%</x:v>
      </x:c>
      <x:c r="D27" s="289" t="n">
        <x:v>0.55</x:v>
      </x:c>
      <x:c r="E27" s="289" t="n">
        <x:v>0.2</x:v>
      </x:c>
      <x:c r="F27" s="308" t="n">
        <x:v>0</x:v>
      </x:c>
      <x:c r="G27" s="289" t="n">
        <x:v>0</x:v>
      </x:c>
      <x:c r="H27" s="289" t="n">
        <x:v>0</x:v>
      </x:c>
      <x:c r="I27" s="279" t="str">
        <x:v>Cash gap and equity issuance</x:v>
      </x:c>
    </x:row>
    <x:row r="28">
      <x:c r="A28" s="279" t="str">
        <x:v>Twenty One Capital</x:v>
      </x:c>
      <x:c r="B28" s="279" t="str">
        <x:v>XXI</x:v>
      </x:c>
      <x:c r="C28" s="279" t="str">
        <x:v>BTC +50%</x:v>
      </x:c>
      <x:c r="D28" s="289" t="n">
        <x:v>0.02</x:v>
      </x:c>
      <x:c r="E28" s="289" t="n">
        <x:v>0</x:v>
      </x:c>
      <x:c r="F28" s="308" t="n">
        <x:v>0</x:v>
      </x:c>
      <x:c r="G28" s="289" t="n">
        <x:v>0</x:v>
      </x:c>
      <x:c r="H28" s="289" t="n">
        <x:v>0</x:v>
      </x:c>
      <x:c r="I28" s="279" t="str">
        <x:v>Conversion threshold and unquantified RSUs</x:v>
      </x:c>
    </x:row>
    <x:row r="29">
      <x:c r="A29" s="279" t="str">
        <x:v>Twenty One Capital</x:v>
      </x:c>
      <x:c r="B29" s="279" t="str">
        <x:v>XXI</x:v>
      </x:c>
      <x:c r="C29" s="279" t="str">
        <x:v>BTC +100%</x:v>
      </x:c>
      <x:c r="D29" s="289" t="n">
        <x:v>0.04</x:v>
      </x:c>
      <x:c r="E29" s="289" t="n">
        <x:v>0</x:v>
      </x:c>
      <x:c r="F29" s="308" t="n">
        <x:v>0</x:v>
      </x:c>
      <x:c r="G29" s="289" t="n">
        <x:v>0</x:v>
      </x:c>
      <x:c r="H29" s="289" t="n">
        <x:v>0</x:v>
      </x:c>
      <x:c r="I29" s="279" t="str">
        <x:v>Conversion threshold and unquantified RSUs</x:v>
      </x:c>
    </x:row>
    <x:row r="30">
      <x:c r="A30" s="279" t="str">
        <x:v>Twenty One Capital</x:v>
      </x:c>
      <x:c r="B30" s="279" t="str">
        <x:v>XXI</x:v>
      </x:c>
      <x:c r="C30" s="279" t="str">
        <x:v>BTC +200%</x:v>
      </x:c>
      <x:c r="D30" s="289" t="n">
        <x:v>0.07</x:v>
      </x:c>
      <x:c r="E30" s="289" t="n">
        <x:v>0</x:v>
      </x:c>
      <x:c r="F30" s="308" t="n">
        <x:v>0</x:v>
      </x:c>
      <x:c r="G30" s="289" t="n">
        <x:v>0</x:v>
      </x:c>
      <x:c r="H30" s="289" t="n">
        <x:v>0</x:v>
      </x:c>
      <x:c r="I30" s="279" t="str">
        <x:v>Conversion threshold and unquantified RSUs</x:v>
      </x:c>
    </x:row>
    <x:row r="31">
      <x:c r="A31" s="279" t="str">
        <x:v>American Bitcoin</x:v>
      </x:c>
      <x:c r="B31" s="279" t="str">
        <x:v>ABTC</x:v>
      </x:c>
      <x:c r="C31" s="279" t="str">
        <x:v>BTC +50%</x:v>
      </x:c>
      <x:c r="D31" s="289" t="n">
        <x:v>0</x:v>
      </x:c>
      <x:c r="E31" s="289" t="n">
        <x:v>0</x:v>
      </x:c>
      <x:c r="F31" s="308" t="n">
        <x:v>1.2</x:v>
      </x:c>
      <x:c r="G31" s="289" t="n">
        <x:v>0.2</x:v>
      </x:c>
      <x:c r="H31" s="289" t="n">
        <x:v>0.02</x:v>
      </x:c>
      <x:c r="I31" s="279" t="str">
        <x:v>ATM utilization, production and cost</x:v>
      </x:c>
    </x:row>
    <x:row r="32">
      <x:c r="A32" s="279" t="str">
        <x:v>American Bitcoin</x:v>
      </x:c>
      <x:c r="B32" s="279" t="str">
        <x:v>ABTC</x:v>
      </x:c>
      <x:c r="C32" s="279" t="str">
        <x:v>BTC +100%</x:v>
      </x:c>
      <x:c r="D32" s="289" t="n">
        <x:v>0</x:v>
      </x:c>
      <x:c r="E32" s="289" t="n">
        <x:v>0</x:v>
      </x:c>
      <x:c r="F32" s="308" t="n">
        <x:v>1.35</x:v>
      </x:c>
      <x:c r="G32" s="289" t="n">
        <x:v>0.35</x:v>
      </x:c>
      <x:c r="H32" s="289" t="n">
        <x:v>0.03</x:v>
      </x:c>
      <x:c r="I32" s="279" t="str">
        <x:v>ATM utilization, production and cost</x:v>
      </x:c>
    </x:row>
    <x:row r="33">
      <x:c r="A33" s="279" t="str">
        <x:v>American Bitcoin</x:v>
      </x:c>
      <x:c r="B33" s="279" t="str">
        <x:v>ABTC</x:v>
      </x:c>
      <x:c r="C33" s="279" t="str">
        <x:v>BTC +200%</x:v>
      </x:c>
      <x:c r="D33" s="289" t="n">
        <x:v>0</x:v>
      </x:c>
      <x:c r="E33" s="289" t="n">
        <x:v>0</x:v>
      </x:c>
      <x:c r="F33" s="308" t="n">
        <x:v>1.6</x:v>
      </x:c>
      <x:c r="G33" s="289" t="n">
        <x:v>0.5</x:v>
      </x:c>
      <x:c r="H33" s="289" t="n">
        <x:v>0.05</x:v>
      </x:c>
      <x:c r="I33" s="279" t="str">
        <x:v>ATM utilization, production and cost</x:v>
      </x:c>
    </x:row>
    <x:row r="34">
      <x:c r="A34" s="279" t="str">
        <x:v>CleanSpark</x:v>
      </x:c>
      <x:c r="B34" s="279" t="str">
        <x:v>CLSK</x:v>
      </x:c>
      <x:c r="C34" s="279" t="str">
        <x:v>BTC +50%</x:v>
      </x:c>
      <x:c r="D34" s="289" t="n">
        <x:v>0</x:v>
      </x:c>
      <x:c r="E34" s="289" t="n">
        <x:v>0</x:v>
      </x:c>
      <x:c r="F34" s="308" t="n">
        <x:v>1.15</x:v>
      </x:c>
      <x:c r="G34" s="289" t="n">
        <x:v>0</x:v>
      </x:c>
      <x:c r="H34" s="289" t="n">
        <x:v>0.05</x:v>
      </x:c>
      <x:c r="I34" s="279" t="str">
        <x:v>HPC probability, capex and cost</x:v>
      </x:c>
    </x:row>
    <x:row r="35">
      <x:c r="A35" s="279" t="str">
        <x:v>CleanSpark</x:v>
      </x:c>
      <x:c r="B35" s="279" t="str">
        <x:v>CLSK</x:v>
      </x:c>
      <x:c r="C35" s="279" t="str">
        <x:v>BTC +100%</x:v>
      </x:c>
      <x:c r="D35" s="289" t="n">
        <x:v>0</x:v>
      </x:c>
      <x:c r="E35" s="289" t="n">
        <x:v>0</x:v>
      </x:c>
      <x:c r="F35" s="308" t="n">
        <x:v>1.3</x:v>
      </x:c>
      <x:c r="G35" s="289" t="n">
        <x:v>0</x:v>
      </x:c>
      <x:c r="H35" s="289" t="n">
        <x:v>0.08</x:v>
      </x:c>
      <x:c r="I35" s="279" t="str">
        <x:v>HPC probability, capex and cost</x:v>
      </x:c>
    </x:row>
    <x:row r="36">
      <x:c r="A36" s="279" t="str">
        <x:v>CleanSpark</x:v>
      </x:c>
      <x:c r="B36" s="279" t="str">
        <x:v>CLSK</x:v>
      </x:c>
      <x:c r="C36" s="279" t="str">
        <x:v>BTC +200%</x:v>
      </x:c>
      <x:c r="D36" s="289" t="n">
        <x:v>0</x:v>
      </x:c>
      <x:c r="E36" s="289" t="n">
        <x:v>0</x:v>
      </x:c>
      <x:c r="F36" s="308" t="n">
        <x:v>1.5</x:v>
      </x:c>
      <x:c r="G36" s="289" t="n">
        <x:v>0</x:v>
      </x:c>
      <x:c r="H36" s="289" t="n">
        <x:v>0.12</x:v>
      </x:c>
      <x:c r="I36" s="279" t="str">
        <x:v>HPC probability, capex and cost</x:v>
      </x:c>
    </x:row>
    <x:row r="37">
      <x:c r="A37" s="279" t="str">
        <x:v>MARA</x:v>
      </x:c>
      <x:c r="B37" s="279" t="str">
        <x:v>MARA</x:v>
      </x:c>
      <x:c r="C37" s="279" t="str">
        <x:v>BTC +50%</x:v>
      </x:c>
      <x:c r="D37" s="289" t="n">
        <x:v>0</x:v>
      </x:c>
      <x:c r="E37" s="289" t="n">
        <x:v>0</x:v>
      </x:c>
      <x:c r="F37" s="308" t="n">
        <x:v>1.1</x:v>
      </x:c>
      <x:c r="G37" s="289" t="n">
        <x:v>0.2</x:v>
      </x:c>
      <x:c r="H37" s="289" t="n">
        <x:v>0.03</x:v>
      </x:c>
      <x:c r="I37" s="279" t="str">
        <x:v>ATM, BTC sales and infrastructure value</x:v>
      </x:c>
    </x:row>
    <x:row r="38">
      <x:c r="A38" s="279" t="str">
        <x:v>MARA</x:v>
      </x:c>
      <x:c r="B38" s="279" t="str">
        <x:v>MARA</x:v>
      </x:c>
      <x:c r="C38" s="279" t="str">
        <x:v>BTC +100%</x:v>
      </x:c>
      <x:c r="D38" s="289" t="n">
        <x:v>0</x:v>
      </x:c>
      <x:c r="E38" s="289" t="n">
        <x:v>0</x:v>
      </x:c>
      <x:c r="F38" s="308" t="n">
        <x:v>1.25</x:v>
      </x:c>
      <x:c r="G38" s="289" t="n">
        <x:v>0.35</x:v>
      </x:c>
      <x:c r="H38" s="289" t="n">
        <x:v>0.05</x:v>
      </x:c>
      <x:c r="I38" s="279" t="str">
        <x:v>ATM, BTC sales and infrastructure value</x:v>
      </x:c>
    </x:row>
    <x:row r="39">
      <x:c r="A39" s="280" t="str">
        <x:v>MARA</x:v>
      </x:c>
      <x:c r="B39" s="280" t="str">
        <x:v>MARA</x:v>
      </x:c>
      <x:c r="C39" s="280" t="str">
        <x:v>BTC +200%</x:v>
      </x:c>
      <x:c r="D39" s="290" t="n">
        <x:v>0</x:v>
      </x:c>
      <x:c r="E39" s="290" t="n">
        <x:v>0</x:v>
      </x:c>
      <x:c r="F39" s="309" t="n">
        <x:v>1.45</x:v>
      </x:c>
      <x:c r="G39" s="290" t="n">
        <x:v>0.5</x:v>
      </x:c>
      <x:c r="H39" s="290" t="n">
        <x:v>0.08</x:v>
      </x:c>
      <x:c r="I39" s="280" t="str">
        <x:v>ATM, BTC sales and infrastructure value</x:v>
      </x:c>
    </x:row>
  </x:sheetData>
  <x:mergeCells>
    <x:mergeCell ref="A1:Y1"/>
    <x:mergeCell ref="A2:Y2"/>
    <x:mergeCell ref="A4:F4"/>
    <x:mergeCell ref="A10:Y10"/>
    <x:mergeCell ref="A20:I20"/>
  </x:mergeCells>
  <x:pageMargins left="0.7" right="0.7" top="0.75" bottom="0.75" header="0.3" footer="0.3"/>
  <x:legacyDrawing xmlns:r="http://schemas.openxmlformats.org/officeDocument/2006/relationships" r:id="R5b5c97434b4e4882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  <x:col min="10" max="10" width="17" hidden="0" customWidth="1"/>
    <x:col min="11" max="11" width="18" hidden="0" customWidth="1"/>
    <x:col min="12" max="12" width="17" hidden="0" customWidth="1"/>
    <x:col min="13" max="13" width="16" hidden="0" customWidth="1"/>
    <x:col min="14" max="14" width="18" hidden="0" customWidth="1"/>
    <x:col min="15" max="15" width="18" hidden="0" customWidth="1"/>
    <x:col min="16" max="16" width="19" hidden="0" customWidth="1"/>
    <x:col min="17" max="17" width="20" hidden="0" customWidth="1"/>
    <x:col min="18" max="18" width="18" hidden="0" customWidth="1"/>
    <x:col min="19" max="19" width="16" hidden="0" customWidth="1"/>
    <x:col min="20" max="20" width="16" hidden="0" customWidth="1"/>
    <x:col min="21" max="21" width="21" hidden="0" customWidth="1"/>
    <x:col min="22" max="22" width="20" hidden="0" customWidth="1"/>
    <x:col min="23" max="23" width="17" hidden="0" customWidth="1"/>
    <x:col min="24" max="24" width="16" hidden="0" customWidth="1"/>
    <x:col min="25" max="25" width="16" hidden="0" customWidth="1"/>
    <x:col min="26" max="26" width="18" hidden="0" customWidth="1"/>
    <x:col min="27" max="27" width="16" hidden="0" customWidth="1"/>
    <x:col min="28" max="28" width="38" hidden="0" customWidth="1"/>
  </x:cols>
  <x:sheetData>
    <x:row r="1" ht="28" customHeight="1">
      <x:c r="A1" s="266" t="str">
        <x:v>Stage 4 Rebuilt Model — 24-Month Bitcoin Proxy Scenarios</x:v>
      </x:c>
      <x:c r="B1" s="266"/>
      <x:c r="C1" s="266"/>
      <x:c r="D1" s="266"/>
      <x:c r="E1" s="266"/>
      <x:c r="F1" s="266"/>
      <x:c r="G1" s="266"/>
      <x:c r="H1" s="266"/>
      <x:c r="I1" s="266"/>
      <x:c r="J1" s="266"/>
      <x:c r="K1" s="266"/>
      <x:c r="L1" s="266"/>
      <x:c r="M1" s="266"/>
      <x:c r="N1" s="266"/>
      <x:c r="O1" s="266"/>
      <x:c r="P1" s="266"/>
      <x:c r="Q1" s="266"/>
      <x:c r="R1" s="266"/>
      <x:c r="S1" s="266"/>
      <x:c r="T1" s="266"/>
      <x:c r="U1" s="266"/>
      <x:c r="V1" s="266"/>
      <x:c r="W1" s="266"/>
      <x:c r="X1" s="266"/>
      <x:c r="Y1" s="266"/>
      <x:c r="Z1" s="266"/>
      <x:c r="AA1" s="266"/>
      <x:c r="AB1" s="266"/>
    </x:row>
    <x:row r="2" ht="30" customHeight="1">
      <x:c r="A2" s="269" t="str">
        <x:v>All calculations are formula-driven from Stage 4 Assumptions. Treasury, mining, HPC and capital-structure components are separated. Outputs are model estimates, not company guidance or an investment recommendation.</x:v>
      </x:c>
      <x:c r="B2" s="269"/>
      <x:c r="C2" s="269"/>
      <x:c r="D2" s="269"/>
      <x:c r="E2" s="269"/>
      <x:c r="F2" s="269"/>
      <x:c r="G2" s="269"/>
      <x:c r="H2" s="269"/>
      <x:c r="I2" s="269"/>
      <x:c r="J2" s="269"/>
      <x:c r="K2" s="269"/>
      <x:c r="L2" s="269"/>
      <x:c r="M2" s="269"/>
      <x:c r="N2" s="269"/>
      <x:c r="O2" s="269"/>
      <x:c r="P2" s="269"/>
      <x:c r="Q2" s="269"/>
      <x:c r="R2" s="269"/>
      <x:c r="S2" s="269"/>
      <x:c r="T2" s="269"/>
      <x:c r="U2" s="269"/>
      <x:c r="V2" s="269"/>
      <x:c r="W2" s="269"/>
      <x:c r="X2" s="269"/>
      <x:c r="Y2" s="269"/>
      <x:c r="Z2" s="269"/>
      <x:c r="AA2" s="269"/>
      <x:c r="AB2" s="269"/>
    </x:row>
    <x:row r="4" ht="34" customHeight="1">
      <x:c r="A4" s="275" t="str">
        <x:v>Company</x:v>
      </x:c>
      <x:c r="B4" s="275" t="str">
        <x:v>Ticker</x:v>
      </x:c>
      <x:c r="C4" s="275" t="str">
        <x:v>Type</x:v>
      </x:c>
      <x:c r="D4" s="275" t="str">
        <x:v>Scenario</x:v>
      </x:c>
      <x:c r="E4" s="275" t="str">
        <x:v>Current price USD</x:v>
      </x:c>
      <x:c r="F4" s="275" t="str">
        <x:v>Terminal BTC USD</x:v>
      </x:c>
      <x:c r="G4" s="275" t="str">
        <x:v>BTC return</x:v>
      </x:c>
      <x:c r="H4" s="275" t="str">
        <x:v>Difficulty increase</x:v>
      </x:c>
      <x:c r="I4" s="275" t="str">
        <x:v>Average BTC USD</x:v>
      </x:c>
      <x:c r="J4" s="275" t="str">
        <x:v>Average issue price</x:v>
      </x:c>
      <x:c r="K4" s="275" t="str">
        <x:v>Financing proceeds M</x:v>
      </x:c>
      <x:c r="L4" s="275" t="str">
        <x:v>Ending shares M</x:v>
      </x:c>
      <x:c r="M4" s="275" t="str">
        <x:v>Ending BTC</x:v>
      </x:c>
      <x:c r="N4" s="275" t="str">
        <x:v>Ending sats/share</x:v>
      </x:c>
      <x:c r="O4" s="275" t="str">
        <x:v>BTC production 24m</x:v>
      </x:c>
      <x:c r="P4" s="275" t="str">
        <x:v>Terminal cash cost/BTC</x:v>
      </x:c>
      <x:c r="Q4" s="275" t="str">
        <x:v>Annual terminal EBITDA M</x:v>
      </x:c>
      <x:c r="R4" s="275" t="str">
        <x:v>Treasury value M</x:v>
      </x:c>
      <x:c r="S4" s="275" t="str">
        <x:v>Mining EV M</x:v>
      </x:c>
      <x:c r="T4" s="275" t="str">
        <x:v>HPC value M</x:v>
      </x:c>
      <x:c r="U4" s="275" t="str">
        <x:v>Net debt + preferred M</x:v>
      </x:c>
      <x:c r="V4" s="275" t="str">
        <x:v>Common equity value M</x:v>
      </x:c>
      <x:c r="W4" s="275" t="str">
        <x:v>Target price USD</x:v>
      </x:c>
      <x:c r="X4" s="275" t="str">
        <x:v>Stock return</x:v>
      </x:c>
      <x:c r="Y4" s="275" t="str">
        <x:v>Excess vs BTC</x:v>
      </x:c>
      <x:c r="Z4" s="275" t="str">
        <x:v>Convert triggered</x:v>
      </x:c>
      <x:c r="AA4" s="275" t="str">
        <x:v>Model status</x:v>
      </x:c>
      <x:c r="AB4" s="275" t="str">
        <x:v>Primary sensitivity</x:v>
      </x:c>
    </x:row>
    <x:row r="5">
      <x:c r="A5" s="283" t="str">
        <x:f>'Stage 4 Assumptions'!A12</x:f>
        <x:v>Strategy</x:v>
      </x:c>
      <x:c r="B5" s="283" t="str">
        <x:f>'Stage 4 Assumptions'!B12</x:f>
        <x:v>MSTR</x:v>
      </x:c>
      <x:c r="C5" s="283" t="str">
        <x:f>'Stage 4 Assumptions'!C12</x:f>
        <x:v>Treasury</x:v>
      </x:c>
      <x:c r="D5" s="283" t="str">
        <x:f>'Stage 4 Assumptions'!A6</x:f>
        <x:v>BTC +50%</x:v>
      </x:c>
      <x:c r="E5" s="310" t="n">
        <x:f>'Stage 4 Assumptions'!D12</x:f>
        <x:v>126.83</x:v>
      </x:c>
      <x:c r="F5" s="310" t="n">
        <x:f>'Stage 4 Assumptions'!C6</x:f>
        <x:v>117766.845</x:v>
      </x:c>
      <x:c r="G5" s="312" t="n">
        <x:f>'Stage 4 Assumptions'!D6</x:f>
        <x:v>0.5</x:v>
      </x:c>
      <x:c r="H5" s="312" t="n">
        <x:f>'Stage 4 Assumptions'!E6</x:f>
        <x:v>0.25</x:v>
      </x:c>
      <x:c r="I5" s="310" t="n">
        <x:f>(Assumptions!$L$7+F5)/2</x:f>
        <x:v>98139.0375</x:v>
      </x:c>
      <x:c r="J5" s="310" t="n">
        <x:f>E5*SQRT('Stage 4 Assumptions'!B6)</x:f>
        <x:v>155.3343920385952</x:v>
      </x:c>
      <x:c r="K5" s="314" t="n">
        <x:f>'Stage 4 Assumptions'!E12*'Stage 4 Assumptions'!D22*J5+('Stage 4 Assumptions'!I12+'Stage 4 Assumptions'!J12)*'Stage 4 Assumptions'!E22</x:f>
        <x:v>9404.926365878933</x:v>
      </x:c>
      <x:c r="L5" s="316" t="n">
        <x:f>'Stage 4 Assumptions'!E12*(1+'Stage 4 Assumptions'!D22)</x:f>
        <x:v>499.0260800000001</x:v>
      </x:c>
      <x:c r="M5" s="318" t="n">
        <x:f>'Stage 4 Assumptions'!G12+K5*1000000/I5</x:f>
        <x:v>936279.6737805936</x:v>
      </x:c>
      <x:c r="N5" s="318" t="n">
        <x:f>M5/(L5*1000000)*100000000</x:f>
        <x:v>187621.39120676686</x:v>
      </x:c>
      <x:c r="O5" s="318" t="n">
        <x:f>0</x:f>
        <x:v>0</x:v>
      </x:c>
      <x:c r="P5" s="287" t="n">
        <x:f>0</x:f>
        <x:v>0</x:v>
      </x:c>
      <x:c r="Q5" s="314" t="n">
        <x:f>0</x:f>
        <x:v>0</x:v>
      </x:c>
      <x:c r="R5" s="314" t="n">
        <x:f>M5*F5/1000000</x:f>
        <x:v>110262.70321876973</x:v>
      </x:c>
      <x:c r="S5" s="314" t="n">
        <x:f>0</x:f>
        <x:v>0</x:v>
      </x:c>
      <x:c r="T5" s="314" t="n">
        <x:f>0</x:f>
        <x:v>0</x:v>
      </x:c>
      <x:c r="U5" s="314" t="n">
        <x:f>('Stage 4 Assumptions'!I12+'Stage 4 Assumptions'!J12)*(1+'Stage 4 Assumptions'!E22)-'Stage 4 Assumptions'!H12</x:f>
        <x:v>16402.65</x:v>
      </x:c>
      <x:c r="V5" s="314" t="n">
        <x:f>MAX((R5-U5)*'Stage 4 Assumptions'!K12,0)</x:f>
        <x:v>104654.59745399244</x:v>
      </x:c>
      <x:c r="W5" s="320" t="n">
        <x:f>V5/L5</x:f>
        <x:v>209.71769141603264</x:v>
      </x:c>
      <x:c r="X5" s="312" t="n">
        <x:f>W5/E5-1</x:f>
        <x:v>0.6535337965468158</x:v>
      </x:c>
      <x:c r="Y5" s="312" t="n">
        <x:f>X5-G5</x:f>
        <x:v>0.15353379654681576</x:v>
      </x:c>
      <x:c r="Z5" s="283" t="str">
        <x:f>"N/A"</x:f>
        <x:v>N/A</x:v>
      </x:c>
      <x:c r="AA5" s="322" t="str">
        <x:f>"Rebuilt"</x:f>
        <x:v>Rebuilt</x:v>
      </x:c>
      <x:c r="AB5" s="283" t="str">
        <x:f>'Stage 4 Assumptions'!I22</x:f>
        <x:v>Issuance price and fixed charges</x:v>
      </x:c>
    </x:row>
    <x:row r="6">
      <x:c r="A6" s="283" t="str">
        <x:f>'Stage 4 Assumptions'!A12</x:f>
        <x:v>Strategy</x:v>
      </x:c>
      <x:c r="B6" s="283" t="str">
        <x:f>'Stage 4 Assumptions'!B12</x:f>
        <x:v>MSTR</x:v>
      </x:c>
      <x:c r="C6" s="283" t="str">
        <x:f>'Stage 4 Assumptions'!C12</x:f>
        <x:v>Treasury</x:v>
      </x:c>
      <x:c r="D6" s="283" t="str">
        <x:f>'Stage 4 Assumptions'!A7</x:f>
        <x:v>BTC +100%</x:v>
      </x:c>
      <x:c r="E6" s="310" t="n">
        <x:f>'Stage 4 Assumptions'!D12</x:f>
        <x:v>126.83</x:v>
      </x:c>
      <x:c r="F6" s="310" t="n">
        <x:f>'Stage 4 Assumptions'!C7</x:f>
        <x:v>157022.46</x:v>
      </x:c>
      <x:c r="G6" s="312" t="n">
        <x:f>'Stage 4 Assumptions'!D7</x:f>
        <x:v>1</x:v>
      </x:c>
      <x:c r="H6" s="312" t="n">
        <x:f>'Stage 4 Assumptions'!E7</x:f>
        <x:v>0.45</x:v>
      </x:c>
      <x:c r="I6" s="310" t="n">
        <x:f>(Assumptions!$L$7+F6)/2</x:f>
        <x:v>117766.845</x:v>
      </x:c>
      <x:c r="J6" s="310" t="n">
        <x:f>E6*SQRT('Stage 4 Assumptions'!B7)</x:f>
        <x:v>179.36470611577965</x:v>
      </x:c>
      <x:c r="K6" s="314" t="n">
        <x:f>'Stage 4 Assumptions'!E12*'Stage 4 Assumptions'!D23*J6+('Stage 4 Assumptions'!I12+'Stage 4 Assumptions'!J12)*'Stage 4 Assumptions'!E23</x:f>
        <x:v>16584.46063660332</x:v>
      </x:c>
      <x:c r="L6" s="316" t="n">
        <x:f>'Stage 4 Assumptions'!E12*(1+'Stage 4 Assumptions'!D23)</x:f>
        <x:v>525.75962</x:v>
      </x:c>
      <x:c r="M6" s="318" t="n">
        <x:f>'Stage 4 Assumptions'!G12+K6*1000000/I6</x:f>
        <x:v>981271.5303387665</x:v>
      </x:c>
      <x:c r="N6" s="318" t="n">
        <x:f>M6/(L6*1000000)*100000000</x:f>
        <x:v>186638.81610740026</x:v>
      </x:c>
      <x:c r="O6" s="318" t="n">
        <x:f>0</x:f>
        <x:v>0</x:v>
      </x:c>
      <x:c r="P6" s="287" t="n">
        <x:f>0</x:f>
        <x:v>0</x:v>
      </x:c>
      <x:c r="Q6" s="314" t="n">
        <x:f>0</x:f>
        <x:v>0</x:v>
      </x:c>
      <x:c r="R6" s="314" t="n">
        <x:f>M6*F6/1000000</x:f>
        <x:v>154081.66962175776</x:v>
      </x:c>
      <x:c r="S6" s="314" t="n">
        <x:f>0</x:f>
        <x:v>0</x:v>
      </x:c>
      <x:c r="T6" s="314" t="n">
        <x:f>0</x:f>
        <x:v>0</x:v>
      </x:c>
      <x:c r="U6" s="314" t="n">
        <x:f>('Stage 4 Assumptions'!I12+'Stage 4 Assumptions'!J12)*(1+'Stage 4 Assumptions'!E23)-'Stage 4 Assumptions'!H12</x:f>
        <x:v>17502.300000000003</x:v>
      </x:c>
      <x:c r="V6" s="314" t="n">
        <x:f>MAX((R6-U6)*'Stage 4 Assumptions'!K12,0)</x:f>
        <x:v>152286.92567400675</x:v>
      </x:c>
      <x:c r="W6" s="320" t="n">
        <x:f>V6/L6</x:f>
        <x:v>289.6512396178442</x:v>
      </x:c>
      <x:c r="X6" s="312" t="n">
        <x:f>W6/E6-1</x:f>
        <x:v>1.2837754444362077</x:v>
      </x:c>
      <x:c r="Y6" s="312" t="n">
        <x:f>X6-G6</x:f>
        <x:v>0.2837754444362077</x:v>
      </x:c>
      <x:c r="Z6" s="283" t="str">
        <x:f>"N/A"</x:f>
        <x:v>N/A</x:v>
      </x:c>
      <x:c r="AA6" s="322" t="str">
        <x:f>"Rebuilt"</x:f>
        <x:v>Rebuilt</x:v>
      </x:c>
      <x:c r="AB6" s="283" t="str">
        <x:f>'Stage 4 Assumptions'!I23</x:f>
        <x:v>Issuance price and fixed charges</x:v>
      </x:c>
    </x:row>
    <x:row r="7">
      <x:c r="A7" s="283" t="str">
        <x:f>'Stage 4 Assumptions'!A12</x:f>
        <x:v>Strategy</x:v>
      </x:c>
      <x:c r="B7" s="283" t="str">
        <x:f>'Stage 4 Assumptions'!B12</x:f>
        <x:v>MSTR</x:v>
      </x:c>
      <x:c r="C7" s="283" t="str">
        <x:f>'Stage 4 Assumptions'!C12</x:f>
        <x:v>Treasury</x:v>
      </x:c>
      <x:c r="D7" s="283" t="str">
        <x:f>'Stage 4 Assumptions'!A8</x:f>
        <x:v>BTC +200%</x:v>
      </x:c>
      <x:c r="E7" s="310" t="n">
        <x:f>'Stage 4 Assumptions'!D12</x:f>
        <x:v>126.83</x:v>
      </x:c>
      <x:c r="F7" s="310" t="n">
        <x:f>'Stage 4 Assumptions'!C8</x:f>
        <x:v>235533.69</x:v>
      </x:c>
      <x:c r="G7" s="312" t="n">
        <x:f>'Stage 4 Assumptions'!D8</x:f>
        <x:v>2</x:v>
      </x:c>
      <x:c r="H7" s="312" t="n">
        <x:f>'Stage 4 Assumptions'!E8</x:f>
        <x:v>0.8</x:v>
      </x:c>
      <x:c r="I7" s="310" t="n">
        <x:f>(Assumptions!$L$7+F7)/2</x:f>
        <x:v>157022.46</x:v>
      </x:c>
      <x:c r="J7" s="310" t="n">
        <x:f>E7*SQRT('Stage 4 Assumptions'!B8)</x:f>
        <x:v>219.67600392396068</x:v>
      </x:c>
      <x:c r="K7" s="314" t="n">
        <x:f>'Stage 4 Assumptions'!E12*'Stage 4 Assumptions'!D24*J7+('Stage 4 Assumptions'!I12+'Stage 4 Assumptions'!J12)*'Stage 4 Assumptions'!E24</x:f>
        <x:v>30704.963777059686</x:v>
      </x:c>
      <x:c r="L7" s="316" t="n">
        <x:f>'Stage 4 Assumptions'!E12*(1+'Stage 4 Assumptions'!D24)</x:f>
        <x:v>570.31552</x:v>
      </x:c>
      <x:c r="M7" s="318" t="n">
        <x:f>'Stage 4 Assumptions'!G12+K7*1000000/I7</x:f>
        <x:v>1035992.0435374639</x:v>
      </x:c>
      <x:c r="N7" s="318" t="n">
        <x:f>M7/(L7*1000000)*100000000</x:f>
        <x:v>181652.43750292188</x:v>
      </x:c>
      <x:c r="O7" s="318" t="n">
        <x:f>0</x:f>
        <x:v>0</x:v>
      </x:c>
      <x:c r="P7" s="287" t="n">
        <x:f>0</x:f>
        <x:v>0</x:v>
      </x:c>
      <x:c r="Q7" s="314" t="n">
        <x:f>0</x:f>
        <x:v>0</x:v>
      </x:c>
      <x:c r="R7" s="314" t="n">
        <x:f>M7*F7/1000000</x:f>
        <x:v>244011.02882501954</x:v>
      </x:c>
      <x:c r="S7" s="314" t="n">
        <x:f>0</x:f>
        <x:v>0</x:v>
      </x:c>
      <x:c r="T7" s="314" t="n">
        <x:f>0</x:f>
        <x:v>0</x:v>
      </x:c>
      <x:c r="U7" s="314" t="n">
        <x:f>('Stage 4 Assumptions'!I12+'Stage 4 Assumptions'!J12)*(1+'Stage 4 Assumptions'!E24)-'Stage 4 Assumptions'!H12</x:f>
        <x:v>18601.949999999997</x:v>
      </x:c>
      <x:c r="V7" s="314" t="n">
        <x:f>MAX((R7-U7)*'Stage 4 Assumptions'!K12,0)</x:f>
        <x:v>251332.65535151248</x:v>
      </x:c>
      <x:c r="W7" s="320" t="n">
        <x:f>V7/L7</x:f>
        <x:v>440.69054152955977</x:v>
      </x:c>
      <x:c r="X7" s="312" t="n">
        <x:f>W7/E7-1</x:f>
        <x:v>2.4746553775097357</x:v>
      </x:c>
      <x:c r="Y7" s="312" t="n">
        <x:f>X7-G7</x:f>
        <x:v>0.47465537750973574</x:v>
      </x:c>
      <x:c r="Z7" s="283" t="str">
        <x:f>"N/A"</x:f>
        <x:v>N/A</x:v>
      </x:c>
      <x:c r="AA7" s="322" t="str">
        <x:f>"Rebuilt"</x:f>
        <x:v>Rebuilt</x:v>
      </x:c>
      <x:c r="AB7" s="283" t="str">
        <x:f>'Stage 4 Assumptions'!I24</x:f>
        <x:v>Issuance price and fixed charges</x:v>
      </x:c>
    </x:row>
    <x:row r="8">
      <x:c r="A8" s="283" t="str">
        <x:f>'Stage 4 Assumptions'!A13</x:f>
        <x:v>Metaplanet</x:v>
      </x:c>
      <x:c r="B8" s="283" t="str">
        <x:f>'Stage 4 Assumptions'!B13</x:f>
        <x:v>3350.T</x:v>
      </x:c>
      <x:c r="C8" s="283" t="str">
        <x:f>'Stage 4 Assumptions'!C13</x:f>
        <x:v>Treasury</x:v>
      </x:c>
      <x:c r="D8" s="283" t="str">
        <x:f>'Stage 4 Assumptions'!A6</x:f>
        <x:v>BTC +50%</x:v>
      </x:c>
      <x:c r="E8" s="310" t="n">
        <x:f>'Stage 4 Assumptions'!D13</x:f>
        <x:v>2.072603944228112</x:v>
      </x:c>
      <x:c r="F8" s="310" t="n">
        <x:f>'Stage 4 Assumptions'!C6</x:f>
        <x:v>117766.845</x:v>
      </x:c>
      <x:c r="G8" s="312" t="n">
        <x:f>'Stage 4 Assumptions'!D6</x:f>
        <x:v>0.5</x:v>
      </x:c>
      <x:c r="H8" s="312" t="n">
        <x:f>'Stage 4 Assumptions'!E6</x:f>
        <x:v>0.25</x:v>
      </x:c>
      <x:c r="I8" s="310" t="n">
        <x:f>(Assumptions!$L$7+F8)/2</x:f>
        <x:v>98139.0375</x:v>
      </x:c>
      <x:c r="J8" s="310" t="n">
        <x:f>E8*SQRT('Stage 4 Assumptions'!B6)</x:f>
        <x:v>2.538411051119359</x:v>
      </x:c>
      <x:c r="K8" s="314" t="n">
        <x:f>'Stage 4 Assumptions'!E13*'Stage 4 Assumptions'!D25*J8+('Stage 4 Assumptions'!I13+'Stage 4 Assumptions'!J13)*'Stage 4 Assumptions'!E25</x:f>
        <x:v>828.3059655339388</x:v>
      </x:c>
      <x:c r="L8" s="316" t="n">
        <x:f>'Stage 4 Assumptions'!E13*(1+'Stage 4 Assumptions'!D25)</x:f>
        <x:v>1957.85304</x:v>
      </x:c>
      <x:c r="M8" s="318" t="n">
        <x:f>'Stage 4 Assumptions'!G13+K8*1000000/I8</x:f>
        <x:v>51440.127258573724</x:v>
      </x:c>
      <x:c r="N8" s="318" t="n">
        <x:f>M8/(L8*1000000)*100000000</x:f>
        <x:v>2627.374282319664</x:v>
      </x:c>
      <x:c r="O8" s="318" t="n">
        <x:f>0</x:f>
        <x:v>0</x:v>
      </x:c>
      <x:c r="P8" s="287" t="n">
        <x:f>0</x:f>
        <x:v>0</x:v>
      </x:c>
      <x:c r="Q8" s="314" t="n">
        <x:f>0</x:f>
        <x:v>0</x:v>
      </x:c>
      <x:c r="R8" s="314" t="n">
        <x:f>M8*F8/1000000</x:f>
        <x:v>6057.9414936407275</x:v>
      </x:c>
      <x:c r="S8" s="314" t="n">
        <x:f>0</x:f>
        <x:v>0</x:v>
      </x:c>
      <x:c r="T8" s="314" t="n">
        <x:f>0</x:f>
        <x:v>0</x:v>
      </x:c>
      <x:c r="U8" s="314" t="n">
        <x:f>('Stage 4 Assumptions'!I13+'Stage 4 Assumptions'!J13)*(1+'Stage 4 Assumptions'!E25)-'Stage 4 Assumptions'!H13</x:f>
        <x:v>612.21</x:v>
      </x:c>
      <x:c r="V8" s="314" t="n">
        <x:f>MAX((R8-U8)*'Stage 4 Assumptions'!K13,0)</x:f>
        <x:v>6662.98807180953</x:v>
      </x:c>
      <x:c r="W8" s="320" t="n">
        <x:f>V8/L8</x:f>
        <x:v>3.4032115463628108</x:v>
      </x:c>
      <x:c r="X8" s="312" t="n">
        <x:f>W8/E8-1</x:f>
        <x:v>0.6419980073087477</x:v>
      </x:c>
      <x:c r="Y8" s="312" t="n">
        <x:f>X8-G8</x:f>
        <x:v>0.14199800730874768</x:v>
      </x:c>
      <x:c r="Z8" s="283" t="str">
        <x:f>"N/A"</x:f>
        <x:v>N/A</x:v>
      </x:c>
      <x:c r="AA8" s="322" t="str">
        <x:f>"Rebuilt"</x:f>
        <x:v>Rebuilt</x:v>
      </x:c>
      <x:c r="AB8" s="283" t="str">
        <x:f>'Stage 4 Assumptions'!I25</x:f>
        <x:v>Cash gap and equity issuance</x:v>
      </x:c>
    </x:row>
    <x:row r="9">
      <x:c r="A9" s="283" t="str">
        <x:f>'Stage 4 Assumptions'!A13</x:f>
        <x:v>Metaplanet</x:v>
      </x:c>
      <x:c r="B9" s="283" t="str">
        <x:f>'Stage 4 Assumptions'!B13</x:f>
        <x:v>3350.T</x:v>
      </x:c>
      <x:c r="C9" s="283" t="str">
        <x:f>'Stage 4 Assumptions'!C13</x:f>
        <x:v>Treasury</x:v>
      </x:c>
      <x:c r="D9" s="283" t="str">
        <x:f>'Stage 4 Assumptions'!A7</x:f>
        <x:v>BTC +100%</x:v>
      </x:c>
      <x:c r="E9" s="310" t="n">
        <x:f>'Stage 4 Assumptions'!D13</x:f>
        <x:v>2.072603944228112</x:v>
      </x:c>
      <x:c r="F9" s="310" t="n">
        <x:f>'Stage 4 Assumptions'!C7</x:f>
        <x:v>157022.46</x:v>
      </x:c>
      <x:c r="G9" s="312" t="n">
        <x:f>'Stage 4 Assumptions'!D7</x:f>
        <x:v>1</x:v>
      </x:c>
      <x:c r="H9" s="312" t="n">
        <x:f>'Stage 4 Assumptions'!E7</x:f>
        <x:v>0.45</x:v>
      </x:c>
      <x:c r="I9" s="310" t="n">
        <x:f>(Assumptions!$L$7+F9)/2</x:f>
        <x:v>117766.845</x:v>
      </x:c>
      <x:c r="J9" s="310" t="n">
        <x:f>E9*SQRT('Stage 4 Assumptions'!B7)</x:f>
        <x:v>2.9311046073553664</x:v>
      </x:c>
      <x:c r="K9" s="314" t="n">
        <x:f>'Stage 4 Assumptions'!E13*'Stage 4 Assumptions'!D26*J9+('Stage 4 Assumptions'!I13+'Stage 4 Assumptions'!J13)*'Stage 4 Assumptions'!E26</x:f>
        <x:v>1735.000352603374</x:v>
      </x:c>
      <x:c r="L9" s="316" t="n">
        <x:f>'Stage 4 Assumptions'!E13*(1+'Stage 4 Assumptions'!D26)</x:f>
        <x:v>2202.58467</x:v>
      </x:c>
      <x:c r="M9" s="318" t="n">
        <x:f>'Stage 4 Assumptions'!G13+K9*1000000/I9</x:f>
        <x:v>57732.502620779</x:v>
      </x:c>
      <x:c r="N9" s="318" t="n">
        <x:f>M9/(L9*1000000)*100000000</x:f>
        <x:v>2621.1252355978218</x:v>
      </x:c>
      <x:c r="O9" s="318" t="n">
        <x:f>0</x:f>
        <x:v>0</x:v>
      </x:c>
      <x:c r="P9" s="287" t="n">
        <x:f>0</x:f>
        <x:v>0</x:v>
      </x:c>
      <x:c r="Q9" s="314" t="n">
        <x:f>0</x:f>
        <x:v>0</x:v>
      </x:c>
      <x:c r="R9" s="314" t="n">
        <x:f>M9*F9/1000000</x:f>
        <x:v>9065.299583471166</x:v>
      </x:c>
      <x:c r="S9" s="314" t="n">
        <x:f>0</x:f>
        <x:v>0</x:v>
      </x:c>
      <x:c r="T9" s="314" t="n">
        <x:f>0</x:f>
        <x:v>0</x:v>
      </x:c>
      <x:c r="U9" s="314" t="n">
        <x:f>('Stage 4 Assumptions'!I13+'Stage 4 Assumptions'!J13)*(1+'Stage 4 Assumptions'!E26)-'Stage 4 Assumptions'!H13</x:f>
        <x:v>673.431</x:v>
      </x:c>
      <x:c r="V9" s="314" t="n">
        <x:f>MAX((R9-U9)*'Stage 4 Assumptions'!K13,0)</x:f>
        <x:v>10267.66015495923</x:v>
      </x:c>
      <x:c r="W9" s="320" t="n">
        <x:f>V9/L9</x:f>
        <x:v>4.661641522711238</x:v>
      </x:c>
      <x:c r="X9" s="312" t="n">
        <x:f>W9/E9-1</x:f>
        <x:v>1.24917140377601</x:v>
      </x:c>
      <x:c r="Y9" s="312" t="n">
        <x:f>X9-G9</x:f>
        <x:v>0.24917140377601</x:v>
      </x:c>
      <x:c r="Z9" s="283" t="str">
        <x:f>"N/A"</x:f>
        <x:v>N/A</x:v>
      </x:c>
      <x:c r="AA9" s="322" t="str">
        <x:f>"Rebuilt"</x:f>
        <x:v>Rebuilt</x:v>
      </x:c>
      <x:c r="AB9" s="283" t="str">
        <x:f>'Stage 4 Assumptions'!I26</x:f>
        <x:v>Cash gap and equity issuance</x:v>
      </x:c>
    </x:row>
    <x:row r="10">
      <x:c r="A10" s="283" t="str">
        <x:f>'Stage 4 Assumptions'!A13</x:f>
        <x:v>Metaplanet</x:v>
      </x:c>
      <x:c r="B10" s="283" t="str">
        <x:f>'Stage 4 Assumptions'!B13</x:f>
        <x:v>3350.T</x:v>
      </x:c>
      <x:c r="C10" s="283" t="str">
        <x:f>'Stage 4 Assumptions'!C13</x:f>
        <x:v>Treasury</x:v>
      </x:c>
      <x:c r="D10" s="283" t="str">
        <x:f>'Stage 4 Assumptions'!A8</x:f>
        <x:v>BTC +200%</x:v>
      </x:c>
      <x:c r="E10" s="310" t="n">
        <x:f>'Stage 4 Assumptions'!D13</x:f>
        <x:v>2.072603944228112</x:v>
      </x:c>
      <x:c r="F10" s="310" t="n">
        <x:f>'Stage 4 Assumptions'!C8</x:f>
        <x:v>235533.69</x:v>
      </x:c>
      <x:c r="G10" s="312" t="n">
        <x:f>'Stage 4 Assumptions'!D8</x:f>
        <x:v>2</x:v>
      </x:c>
      <x:c r="H10" s="312" t="n">
        <x:f>'Stage 4 Assumptions'!E8</x:f>
        <x:v>0.8</x:v>
      </x:c>
      <x:c r="I10" s="310" t="n">
        <x:f>(Assumptions!$L$7+F10)/2</x:f>
        <x:v>157022.46</x:v>
      </x:c>
      <x:c r="J10" s="310" t="n">
        <x:f>E10*SQRT('Stage 4 Assumptions'!B8)</x:f>
        <x:v>3.589855335370742</x:v>
      </x:c>
      <x:c r="K10" s="314" t="n">
        <x:f>'Stage 4 Assumptions'!E13*'Stage 4 Assumptions'!D27*J10+('Stage 4 Assumptions'!I13+'Stage 4 Assumptions'!J13)*'Stage 4 Assumptions'!E27</x:f>
        <x:v>3343.796208194754</x:v>
      </x:c>
      <x:c r="L10" s="316" t="n">
        <x:f>'Stage 4 Assumptions'!E13*(1+'Stage 4 Assumptions'!D27)</x:f>
        <x:v>2528.8935100000003</x:v>
      </x:c>
      <x:c r="M10" s="318" t="n">
        <x:f>'Stage 4 Assumptions'!G13+K10*1000000/I10</x:f>
        <x:v>64295.018611953696</x:v>
      </x:c>
      <x:c r="N10" s="318" t="n">
        <x:f>M10/(L10*1000000)*100000000</x:f>
        <x:v>2542.4170040261474</x:v>
      </x:c>
      <x:c r="O10" s="318" t="n">
        <x:f>0</x:f>
        <x:v>0</x:v>
      </x:c>
      <x:c r="P10" s="287" t="n">
        <x:f>0</x:f>
        <x:v>0</x:v>
      </x:c>
      <x:c r="Q10" s="314" t="n">
        <x:f>0</x:f>
        <x:v>0</x:v>
      </x:c>
      <x:c r="R10" s="314" t="n">
        <x:f>M10*F10/1000000</x:f>
        <x:v>15143.642982292131</x:v>
      </x:c>
      <x:c r="S10" s="314" t="n">
        <x:f>0</x:f>
        <x:v>0</x:v>
      </x:c>
      <x:c r="T10" s="314" t="n">
        <x:f>0</x:f>
        <x:v>0</x:v>
      </x:c>
      <x:c r="U10" s="314" t="n">
        <x:f>('Stage 4 Assumptions'!I13+'Stage 4 Assumptions'!J13)*(1+'Stage 4 Assumptions'!E27)-'Stage 4 Assumptions'!H13</x:f>
        <x:v>734.652</x:v>
      </x:c>
      <x:c r="V10" s="314" t="n">
        <x:f>MAX((R10-U10)*'Stage 4 Assumptions'!K13,0)</x:f>
        <x:v>17629.75922590675</x:v>
      </x:c>
      <x:c r="W10" s="320" t="n">
        <x:f>V10/L10</x:f>
        <x:v>6.971333176424162</x:v>
      </x:c>
      <x:c r="X10" s="312" t="n">
        <x:f>W10/E10-1</x:f>
        <x:v>2.363562631364409</x:v>
      </x:c>
      <x:c r="Y10" s="312" t="n">
        <x:f>X10-G10</x:f>
        <x:v>0.36356263136440914</x:v>
      </x:c>
      <x:c r="Z10" s="283" t="str">
        <x:f>"N/A"</x:f>
        <x:v>N/A</x:v>
      </x:c>
      <x:c r="AA10" s="322" t="str">
        <x:f>"Rebuilt"</x:f>
        <x:v>Rebuilt</x:v>
      </x:c>
      <x:c r="AB10" s="283" t="str">
        <x:f>'Stage 4 Assumptions'!I27</x:f>
        <x:v>Cash gap and equity issuance</x:v>
      </x:c>
    </x:row>
    <x:row r="11">
      <x:c r="A11" s="283" t="str">
        <x:f>'Stage 4 Assumptions'!A14</x:f>
        <x:v>Twenty One Capital</x:v>
      </x:c>
      <x:c r="B11" s="283" t="str">
        <x:f>'Stage 4 Assumptions'!B14</x:f>
        <x:v>XXI</x:v>
      </x:c>
      <x:c r="C11" s="283" t="str">
        <x:f>'Stage 4 Assumptions'!C14</x:f>
        <x:v>Convertible treasury</x:v>
      </x:c>
      <x:c r="D11" s="283" t="str">
        <x:f>'Stage 4 Assumptions'!A6</x:f>
        <x:v>BTC +50%</x:v>
      </x:c>
      <x:c r="E11" s="310" t="n">
        <x:f>'Stage 4 Assumptions'!D14</x:f>
        <x:v>6.51</x:v>
      </x:c>
      <x:c r="F11" s="310" t="n">
        <x:f>'Stage 4 Assumptions'!C6</x:f>
        <x:v>117766.845</x:v>
      </x:c>
      <x:c r="G11" s="312" t="n">
        <x:f>'Stage 4 Assumptions'!D6</x:f>
        <x:v>0.5</x:v>
      </x:c>
      <x:c r="H11" s="312" t="n">
        <x:f>'Stage 4 Assumptions'!E6</x:f>
        <x:v>0.25</x:v>
      </x:c>
      <x:c r="I11" s="310" t="n">
        <x:f>(Assumptions!$L$7+F11)/2</x:f>
        <x:v>98139.0375</x:v>
      </x:c>
      <x:c r="J11" s="310" t="n">
        <x:f>E11*SQRT('Stage 4 Assumptions'!B6)</x:f>
        <x:v>7.973089112759244</x:v>
      </x:c>
      <x:c r="K11" s="314" t="n">
        <x:f>0</x:f>
        <x:v>0</x:v>
      </x:c>
      <x:c r="L11" s="316" t="n">
        <x:f>'Stage 4 Assumptions'!E14*(1+'Stage 4 Assumptions'!D28)+IF(Z11="Yes",'Stage 4 Assumptions'!X14,0)</x:f>
        <x:v>372.22729848</x:v>
      </x:c>
      <x:c r="M11" s="318" t="n">
        <x:f>'Stage 4 Assumptions'!G14</x:f>
        <x:v>43514</x:v>
      </x:c>
      <x:c r="N11" s="318" t="n">
        <x:f>M11/(L11*1000000)*100000000</x:f>
        <x:v>11690.168931104883</x:v>
      </x:c>
      <x:c r="O11" s="318" t="n">
        <x:f>0</x:f>
        <x:v>0</x:v>
      </x:c>
      <x:c r="P11" s="287" t="n">
        <x:f>0</x:f>
        <x:v>0</x:v>
      </x:c>
      <x:c r="Q11" s="314" t="n">
        <x:f>0</x:f>
        <x:v>0</x:v>
      </x:c>
      <x:c r="R11" s="314" t="n">
        <x:f>M11*F11/1000000</x:f>
        <x:v>5124.50649333</x:v>
      </x:c>
      <x:c r="S11" s="314" t="n">
        <x:f>0</x:f>
        <x:v>0</x:v>
      </x:c>
      <x:c r="T11" s="314" t="n">
        <x:f>0</x:f>
        <x:v>0</x:v>
      </x:c>
      <x:c r="U11" s="314" t="n">
        <x:f>IF(Z11="Yes",0,'Stage 4 Assumptions'!I14)+'Stage 4 Assumptions'!J14-'Stage 4 Assumptions'!H14</x:f>
        <x:v>372.442573</x:v>
      </x:c>
      <x:c r="V11" s="314" t="n">
        <x:f>MAX((R11-U11)*'Stage 4 Assumptions'!K14,0)</x:f>
        <x:v>3524.7026413214207</x:v>
      </x:c>
      <x:c r="W11" s="320" t="n">
        <x:f>V11/L11</x:f>
        <x:v>9.469221241200302</x:v>
      </x:c>
      <x:c r="X11" s="312" t="n">
        <x:f>W11/E11-1</x:f>
        <x:v>0.454565474838756</x:v>
      </x:c>
      <x:c r="Y11" s="312" t="n">
        <x:f>X11-G11</x:f>
        <x:v>-0.04543452516124402</x:v>
      </x:c>
      <x:c r="Z11" s="283" t="str">
        <x:f>IF(((('Stage 4 Assumptions'!G14*F11/1000000)+'Stage 4 Assumptions'!H14-'Stage 4 Assumptions'!I14-'Stage 4 Assumptions'!J14)*'Stage 4 Assumptions'!K14)/('Stage 4 Assumptions'!E14*(1+'Stage 4 Assumptions'!D28))&gt;='Stage 4 Assumptions'!Y14,"Yes","No")</x:f>
        <x:v>No</x:v>
      </x:c>
      <x:c r="AA11" s="322" t="str">
        <x:f>"Rebuilt"</x:f>
        <x:v>Rebuilt</x:v>
      </x:c>
      <x:c r="AB11" s="283" t="str">
        <x:f>'Stage 4 Assumptions'!I28</x:f>
        <x:v>Conversion threshold and unquantified RSUs</x:v>
      </x:c>
    </x:row>
    <x:row r="12">
      <x:c r="A12" s="283" t="str">
        <x:f>'Stage 4 Assumptions'!A14</x:f>
        <x:v>Twenty One Capital</x:v>
      </x:c>
      <x:c r="B12" s="283" t="str">
        <x:f>'Stage 4 Assumptions'!B14</x:f>
        <x:v>XXI</x:v>
      </x:c>
      <x:c r="C12" s="283" t="str">
        <x:f>'Stage 4 Assumptions'!C14</x:f>
        <x:v>Convertible treasury</x:v>
      </x:c>
      <x:c r="D12" s="283" t="str">
        <x:f>'Stage 4 Assumptions'!A7</x:f>
        <x:v>BTC +100%</x:v>
      </x:c>
      <x:c r="E12" s="310" t="n">
        <x:f>'Stage 4 Assumptions'!D14</x:f>
        <x:v>6.51</x:v>
      </x:c>
      <x:c r="F12" s="310" t="n">
        <x:f>'Stage 4 Assumptions'!C7</x:f>
        <x:v>157022.46</x:v>
      </x:c>
      <x:c r="G12" s="312" t="n">
        <x:f>'Stage 4 Assumptions'!D7</x:f>
        <x:v>1</x:v>
      </x:c>
      <x:c r="H12" s="312" t="n">
        <x:f>'Stage 4 Assumptions'!E7</x:f>
        <x:v>0.45</x:v>
      </x:c>
      <x:c r="I12" s="310" t="n">
        <x:f>(Assumptions!$L$7+F12)/2</x:f>
        <x:v>117766.845</x:v>
      </x:c>
      <x:c r="J12" s="310" t="n">
        <x:f>E12*SQRT('Stage 4 Assumptions'!B7)</x:f>
        <x:v>9.20653029104885</x:v>
      </x:c>
      <x:c r="K12" s="314" t="n">
        <x:f>0</x:f>
        <x:v>0</x:v>
      </x:c>
      <x:c r="L12" s="316" t="n">
        <x:f>'Stage 4 Assumptions'!E14*(1+'Stage 4 Assumptions'!D29)+IF(Z12="Yes",'Stage 4 Assumptions'!X14,0)</x:f>
        <x:v>379.52587296</x:v>
      </x:c>
      <x:c r="M12" s="318" t="n">
        <x:f>'Stage 4 Assumptions'!G14</x:f>
        <x:v>43514</x:v>
      </x:c>
      <x:c r="N12" s="318" t="n">
        <x:f>M12/(L12*1000000)*100000000</x:f>
        <x:v>11465.357990122096</x:v>
      </x:c>
      <x:c r="O12" s="318" t="n">
        <x:f>0</x:f>
        <x:v>0</x:v>
      </x:c>
      <x:c r="P12" s="287" t="n">
        <x:f>0</x:f>
        <x:v>0</x:v>
      </x:c>
      <x:c r="Q12" s="314" t="n">
        <x:f>0</x:f>
        <x:v>0</x:v>
      </x:c>
      <x:c r="R12" s="314" t="n">
        <x:f>M12*F12/1000000</x:f>
        <x:v>6832.67532444</x:v>
      </x:c>
      <x:c r="S12" s="314" t="n">
        <x:f>0</x:f>
        <x:v>0</x:v>
      </x:c>
      <x:c r="T12" s="314" t="n">
        <x:f>0</x:f>
        <x:v>0</x:v>
      </x:c>
      <x:c r="U12" s="314" t="n">
        <x:f>IF(Z12="Yes",0,'Stage 4 Assumptions'!I14)+'Stage 4 Assumptions'!J14-'Stage 4 Assumptions'!H14</x:f>
        <x:v>372.442573</x:v>
      </x:c>
      <x:c r="V12" s="314" t="n">
        <x:f>MAX((R12-U12)*'Stage 4 Assumptions'!K14,0)</x:f>
        <x:v>4791.686270282842</x:v>
      </x:c>
      <x:c r="W12" s="320" t="n">
        <x:f>V12/L12</x:f>
        <x:v>12.625453524186637</x:v>
      </x:c>
      <x:c r="X12" s="312" t="n">
        <x:f>W12/E12-1</x:f>
        <x:v>0.9393937825171488</x:v>
      </x:c>
      <x:c r="Y12" s="312" t="n">
        <x:f>X12-G12</x:f>
        <x:v>-0.06060621748285122</x:v>
      </x:c>
      <x:c r="Z12" s="283" t="str">
        <x:f>IF(((('Stage 4 Assumptions'!G14*F12/1000000)+'Stage 4 Assumptions'!H14-'Stage 4 Assumptions'!I14-'Stage 4 Assumptions'!J14)*'Stage 4 Assumptions'!K14)/('Stage 4 Assumptions'!E14*(1+'Stage 4 Assumptions'!D29))&gt;='Stage 4 Assumptions'!Y14,"Yes","No")</x:f>
        <x:v>No</x:v>
      </x:c>
      <x:c r="AA12" s="322" t="str">
        <x:f>"Rebuilt"</x:f>
        <x:v>Rebuilt</x:v>
      </x:c>
      <x:c r="AB12" s="283" t="str">
        <x:f>'Stage 4 Assumptions'!I29</x:f>
        <x:v>Conversion threshold and unquantified RSUs</x:v>
      </x:c>
    </x:row>
    <x:row r="13">
      <x:c r="A13" s="283" t="str">
        <x:f>'Stage 4 Assumptions'!A14</x:f>
        <x:v>Twenty One Capital</x:v>
      </x:c>
      <x:c r="B13" s="283" t="str">
        <x:f>'Stage 4 Assumptions'!B14</x:f>
        <x:v>XXI</x:v>
      </x:c>
      <x:c r="C13" s="283" t="str">
        <x:f>'Stage 4 Assumptions'!C14</x:f>
        <x:v>Convertible treasury</x:v>
      </x:c>
      <x:c r="D13" s="283" t="str">
        <x:f>'Stage 4 Assumptions'!A8</x:f>
        <x:v>BTC +200%</x:v>
      </x:c>
      <x:c r="E13" s="310" t="n">
        <x:f>'Stage 4 Assumptions'!D14</x:f>
        <x:v>6.51</x:v>
      </x:c>
      <x:c r="F13" s="310" t="n">
        <x:f>'Stage 4 Assumptions'!C8</x:f>
        <x:v>235533.69</x:v>
      </x:c>
      <x:c r="G13" s="312" t="n">
        <x:f>'Stage 4 Assumptions'!D8</x:f>
        <x:v>2</x:v>
      </x:c>
      <x:c r="H13" s="312" t="n">
        <x:f>'Stage 4 Assumptions'!E8</x:f>
        <x:v>0.8</x:v>
      </x:c>
      <x:c r="I13" s="310" t="n">
        <x:f>(Assumptions!$L$7+F13)/2</x:f>
        <x:v>157022.46</x:v>
      </x:c>
      <x:c r="J13" s="310" t="n">
        <x:f>E13*SQRT('Stage 4 Assumptions'!B8)</x:f>
        <x:v>11.27565075727339</x:v>
      </x:c>
      <x:c r="K13" s="314" t="n">
        <x:f>0</x:f>
        <x:v>0</x:v>
      </x:c>
      <x:c r="L13" s="316" t="n">
        <x:f>'Stage 4 Assumptions'!E14*(1+'Stage 4 Assumptions'!D30)+IF(Z13="Yes",'Stage 4 Assumptions'!X14,0)</x:f>
        <x:v>427.89681168</x:v>
      </x:c>
      <x:c r="M13" s="318" t="n">
        <x:f>'Stage 4 Assumptions'!G14</x:f>
        <x:v>43514</x:v>
      </x:c>
      <x:c r="N13" s="318" t="n">
        <x:f>M13/(L13*1000000)*100000000</x:f>
        <x:v>10169.274182987294</x:v>
      </x:c>
      <x:c r="O13" s="318" t="n">
        <x:f>0</x:f>
        <x:v>0</x:v>
      </x:c>
      <x:c r="P13" s="287" t="n">
        <x:f>0</x:f>
        <x:v>0</x:v>
      </x:c>
      <x:c r="Q13" s="314" t="n">
        <x:f>0</x:f>
        <x:v>0</x:v>
      </x:c>
      <x:c r="R13" s="314" t="n">
        <x:f>M13*F13/1000000</x:f>
        <x:v>10249.01298666</x:v>
      </x:c>
      <x:c r="S13" s="314" t="n">
        <x:f>0</x:f>
        <x:v>0</x:v>
      </x:c>
      <x:c r="T13" s="314" t="n">
        <x:f>0</x:f>
        <x:v>0</x:v>
      </x:c>
      <x:c r="U13" s="314" t="n">
        <x:f>IF(Z13="Yes",0,'Stage 4 Assumptions'!I14)+'Stage 4 Assumptions'!J14-'Stage 4 Assumptions'!H14</x:f>
        <x:v>-114.057427</x:v>
      </x:c>
      <x:c r="V13" s="314" t="n">
        <x:f>MAX((R13-U13)*'Stage 4 Assumptions'!K14,0)</x:f>
        <x:v>7686.500491493963</x:v>
      </x:c>
      <x:c r="W13" s="320" t="n">
        <x:f>V13/L13</x:f>
        <x:v>17.963444180187686</x:v>
      </x:c>
      <x:c r="X13" s="312" t="n">
        <x:f>W13/E13-1</x:f>
        <x:v>1.7593616252208428</x:v>
      </x:c>
      <x:c r="Y13" s="312" t="n">
        <x:f>X13-G13</x:f>
        <x:v>-0.24063837477915717</x:v>
      </x:c>
      <x:c r="Z13" s="283" t="str">
        <x:f>IF(((('Stage 4 Assumptions'!G14*F13/1000000)+'Stage 4 Assumptions'!H14-'Stage 4 Assumptions'!I14-'Stage 4 Assumptions'!J14)*'Stage 4 Assumptions'!K14)/('Stage 4 Assumptions'!E14*(1+'Stage 4 Assumptions'!D30))&gt;='Stage 4 Assumptions'!Y14,"Yes","No")</x:f>
        <x:v>Yes</x:v>
      </x:c>
      <x:c r="AA13" s="322" t="str">
        <x:f>"Rebuilt"</x:f>
        <x:v>Rebuilt</x:v>
      </x:c>
      <x:c r="AB13" s="283" t="str">
        <x:f>'Stage 4 Assumptions'!I30</x:f>
        <x:v>Conversion threshold and unquantified RSUs</x:v>
      </x:c>
    </x:row>
    <x:row r="14">
      <x:c r="A14" s="283" t="str">
        <x:f>'Stage 4 Assumptions'!A15</x:f>
        <x:v>American Bitcoin</x:v>
      </x:c>
      <x:c r="B14" s="283" t="str">
        <x:f>'Stage 4 Assumptions'!B15</x:f>
        <x:v>ABTC</x:v>
      </x:c>
      <x:c r="C14" s="283" t="str">
        <x:f>'Stage 4 Assumptions'!C15</x:f>
        <x:v>Miner</x:v>
      </x:c>
      <x:c r="D14" s="283" t="str">
        <x:f>'Stage 4 Assumptions'!A6</x:f>
        <x:v>BTC +50%</x:v>
      </x:c>
      <x:c r="E14" s="310" t="n">
        <x:f>'Stage 4 Assumptions'!D15</x:f>
        <x:v>9.24</x:v>
      </x:c>
      <x:c r="F14" s="310" t="n">
        <x:f>'Stage 4 Assumptions'!C6</x:f>
        <x:v>117766.845</x:v>
      </x:c>
      <x:c r="G14" s="312" t="n">
        <x:f>'Stage 4 Assumptions'!D6</x:f>
        <x:v>0.5</x:v>
      </x:c>
      <x:c r="H14" s="312" t="n">
        <x:f>'Stage 4 Assumptions'!E6</x:f>
        <x:v>0.25</x:v>
      </x:c>
      <x:c r="I14" s="310" t="n">
        <x:f>(Assumptions!$L$7+F14)/2</x:f>
        <x:v>98139.0375</x:v>
      </x:c>
      <x:c r="J14" s="310" t="n">
        <x:f>E14*SQRT('Stage 4 Assumptions'!B6)</x:f>
        <x:v>11.316642611658281</x:v>
      </x:c>
      <x:c r="K14" s="314" t="n">
        <x:f>'Stage 4 Assumptions'!Q15*'Stage 4 Assumptions'!G31</x:f>
        <x:v>342.96000000000004</x:v>
      </x:c>
      <x:c r="L14" s="316" t="n">
        <x:f>'Stage 4 Assumptions'!E15+K14/J14+'Stage 4 Assumptions'!E15*'Stage 4 Assumptions'!H31</x:f>
        <x:v>104.5873866996291</x:v>
      </x:c>
      <x:c r="M14" s="318" t="n">
        <x:f>'Stage 4 Assumptions'!G15+O14*'Stage 4 Assumptions'!O15+(K14*'Stage 4 Assumptions'!R15)*1000000/I14</x:f>
        <x:v>14123.503579164408</x:v>
      </x:c>
      <x:c r="N14" s="318" t="n">
        <x:f>M14/(L14*1000000)*100000000</x:f>
        <x:v>13504.021875722507</x:v>
      </x:c>
      <x:c r="O14" s="318" t="n">
        <x:f>8*'Stage 4 Assumptions'!L15*((1+'Stage 4 Assumptions'!F31)/2)/(1+H14/2)</x:f>
        <x:v>7290.311111111111</x:v>
      </x:c>
      <x:c r="P14" s="287" t="n">
        <x:f>'Stage 4 Assumptions'!M15*(1+H14)/(1+'Stage 4 Assumptions'!S15)</x:f>
        <x:v>41477.27272727272</x:v>
      </x:c>
      <x:c r="Q14" s="314" t="n">
        <x:f>4*'Stage 4 Assumptions'!L15*'Stage 4 Assumptions'!F31/(1+H14)*MAX(F14-P14,0)/1000000</x:f>
        <x:v>273.0312244154182</x:v>
      </x:c>
      <x:c r="R14" s="314" t="n">
        <x:f>M14*F14/1000000</x:f>
        <x:v>1663.2804568644</x:v>
      </x:c>
      <x:c r="S14" s="314" t="n">
        <x:f>Q14*'Stage 4 Assumptions'!P15</x:f>
        <x:v>1365.156122077091</x:v>
      </x:c>
      <x:c r="T14" s="314" t="n">
        <x:f>'Stage 4 Assumptions'!T15*'Stage 4 Assumptions'!U15*'Stage 4 Assumptions'!V15*'Stage 4 Assumptions'!W15</x:f>
        <x:v>0</x:v>
      </x:c>
      <x:c r="U14" s="314" t="n">
        <x:f>'Stage 4 Assumptions'!I15+'Stage 4 Assumptions'!J15-'Stage 4 Assumptions'!H15-(O14*(1-'Stage 4 Assumptions'!O15)*I14/1000000-O14*(('Stage 4 Assumptions'!M15+P14)/2)/1000000-'Stage 4 Assumptions'!N15*2+K14*(1-'Stage 4 Assumptions'!R15))</x:f>
        <x:v>508.8416426808888</x:v>
      </x:c>
      <x:c r="V14" s="314" t="n">
        <x:f>MAX(R14+S14+T14-U14,0)</x:f>
        <x:v>2519.594936260602</x:v>
      </x:c>
      <x:c r="W14" s="320" t="n">
        <x:f>V14/L14</x:f>
        <x:v>24.090810715987963</x:v>
      </x:c>
      <x:c r="X14" s="312" t="n">
        <x:f>W14/E14-1</x:f>
        <x:v>1.6072305969683942</x:v>
      </x:c>
      <x:c r="Y14" s="312" t="n">
        <x:f>X14-G14</x:f>
        <x:v>1.1072305969683942</x:v>
      </x:c>
      <x:c r="Z14" s="283" t="str">
        <x:f>"N/A"</x:f>
        <x:v>N/A</x:v>
      </x:c>
      <x:c r="AA14" s="322" t="str">
        <x:f>"Rebuilt"</x:f>
        <x:v>Rebuilt</x:v>
      </x:c>
      <x:c r="AB14" s="283" t="str">
        <x:f>'Stage 4 Assumptions'!I31</x:f>
        <x:v>ATM utilization, production and cost</x:v>
      </x:c>
    </x:row>
    <x:row r="15">
      <x:c r="A15" s="283" t="str">
        <x:f>'Stage 4 Assumptions'!A15</x:f>
        <x:v>American Bitcoin</x:v>
      </x:c>
      <x:c r="B15" s="283" t="str">
        <x:f>'Stage 4 Assumptions'!B15</x:f>
        <x:v>ABTC</x:v>
      </x:c>
      <x:c r="C15" s="283" t="str">
        <x:f>'Stage 4 Assumptions'!C15</x:f>
        <x:v>Miner</x:v>
      </x:c>
      <x:c r="D15" s="283" t="str">
        <x:f>'Stage 4 Assumptions'!A7</x:f>
        <x:v>BTC +100%</x:v>
      </x:c>
      <x:c r="E15" s="310" t="n">
        <x:f>'Stage 4 Assumptions'!D15</x:f>
        <x:v>9.24</x:v>
      </x:c>
      <x:c r="F15" s="310" t="n">
        <x:f>'Stage 4 Assumptions'!C7</x:f>
        <x:v>157022.46</x:v>
      </x:c>
      <x:c r="G15" s="312" t="n">
        <x:f>'Stage 4 Assumptions'!D7</x:f>
        <x:v>1</x:v>
      </x:c>
      <x:c r="H15" s="312" t="n">
        <x:f>'Stage 4 Assumptions'!E7</x:f>
        <x:v>0.45</x:v>
      </x:c>
      <x:c r="I15" s="310" t="n">
        <x:f>(Assumptions!$L$7+F15)/2</x:f>
        <x:v>117766.845</x:v>
      </x:c>
      <x:c r="J15" s="310" t="n">
        <x:f>E15*SQRT('Stage 4 Assumptions'!B7)</x:f>
        <x:v>13.0673333163274</x:v>
      </x:c>
      <x:c r="K15" s="314" t="n">
        <x:f>'Stage 4 Assumptions'!Q15*'Stage 4 Assumptions'!G32</x:f>
        <x:v>600.18</x:v>
      </x:c>
      <x:c r="L15" s="316" t="n">
        <x:f>'Stage 4 Assumptions'!E15+K15/J15+'Stage 4 Assumptions'!E15*'Stage 4 Assumptions'!H32</x:f>
        <x:v>120.93962886979891</x:v>
      </x:c>
      <x:c r="M15" s="318" t="n">
        <x:f>'Stage 4 Assumptions'!G15+O15*'Stage 4 Assumptions'!O15+(K15*'Stage 4 Assumptions'!R15)*1000000/I15</x:f>
        <x:v>14841.174579025192</x:v>
      </x:c>
      <x:c r="N15" s="318" t="n">
        <x:f>M15/(L15*1000000)*100000000</x:f>
        <x:v>12271.556244812768</x:v>
      </x:c>
      <x:c r="O15" s="318" t="n">
        <x:f>8*'Stage 4 Assumptions'!L15*((1+'Stage 4 Assumptions'!F32)/2)/(1+H15/2)</x:f>
        <x:v>7151.673469387755</x:v>
      </x:c>
      <x:c r="P15" s="287" t="n">
        <x:f>'Stage 4 Assumptions'!M15*(1+H15)/(1+'Stage 4 Assumptions'!S15)</x:f>
        <x:v>48113.63636363636</x:v>
      </x:c>
      <x:c r="Q15" s="314" t="n">
        <x:f>4*'Stage 4 Assumptions'!L15*'Stage 4 Assumptions'!F32/(1+H15)*MAX(F15-P15,0)/1000000</x:f>
        <x:v>378.01126041178685</x:v>
      </x:c>
      <x:c r="R15" s="314" t="n">
        <x:f>M15*F15/1000000</x:f>
        <x:v>2330.3977416879998</x:v>
      </x:c>
      <x:c r="S15" s="314" t="n">
        <x:f>Q15*'Stage 4 Assumptions'!P15</x:f>
        <x:v>1890.0563020589343</x:v>
      </x:c>
      <x:c r="T15" s="314" t="n">
        <x:f>'Stage 4 Assumptions'!T15*'Stage 4 Assumptions'!U15*'Stage 4 Assumptions'!V15*'Stage 4 Assumptions'!W15</x:f>
        <x:v>0</x:v>
      </x:c>
      <x:c r="U15" s="314" t="n">
        <x:f>'Stage 4 Assumptions'!I15+'Stage 4 Assumptions'!J15-'Stage 4 Assumptions'!H15-(O15*(1-'Stage 4 Assumptions'!O15)*I15/1000000-O15*(('Stage 4 Assumptions'!M15+P15)/2)/1000000-'Stage 4 Assumptions'!N15*2+K15*(1-'Stage 4 Assumptions'!R15))</x:f>
        <x:v>347.8505407811205</x:v>
      </x:c>
      <x:c r="V15" s="314" t="n">
        <x:f>MAX(R15+S15+T15-U15,0)</x:f>
        <x:v>3872.6035029658137</x:v>
      </x:c>
      <x:c r="W15" s="320" t="n">
        <x:f>V15/L15</x:f>
        <x:v>32.020964006223124</x:v>
      </x:c>
      <x:c r="X15" s="312" t="n">
        <x:f>W15/E15-1</x:f>
        <x:v>2.465472295045793</x:v>
      </x:c>
      <x:c r="Y15" s="312" t="n">
        <x:f>X15-G15</x:f>
        <x:v>1.4654722950457928</x:v>
      </x:c>
      <x:c r="Z15" s="283" t="str">
        <x:f>"N/A"</x:f>
        <x:v>N/A</x:v>
      </x:c>
      <x:c r="AA15" s="322" t="str">
        <x:f>"Rebuilt"</x:f>
        <x:v>Rebuilt</x:v>
      </x:c>
      <x:c r="AB15" s="283" t="str">
        <x:f>'Stage 4 Assumptions'!I32</x:f>
        <x:v>ATM utilization, production and cost</x:v>
      </x:c>
    </x:row>
    <x:row r="16">
      <x:c r="A16" s="283" t="str">
        <x:f>'Stage 4 Assumptions'!A15</x:f>
        <x:v>American Bitcoin</x:v>
      </x:c>
      <x:c r="B16" s="283" t="str">
        <x:f>'Stage 4 Assumptions'!B15</x:f>
        <x:v>ABTC</x:v>
      </x:c>
      <x:c r="C16" s="283" t="str">
        <x:f>'Stage 4 Assumptions'!C15</x:f>
        <x:v>Miner</x:v>
      </x:c>
      <x:c r="D16" s="283" t="str">
        <x:f>'Stage 4 Assumptions'!A8</x:f>
        <x:v>BTC +200%</x:v>
      </x:c>
      <x:c r="E16" s="310" t="n">
        <x:f>'Stage 4 Assumptions'!D15</x:f>
        <x:v>9.24</x:v>
      </x:c>
      <x:c r="F16" s="310" t="n">
        <x:f>'Stage 4 Assumptions'!C8</x:f>
        <x:v>235533.69</x:v>
      </x:c>
      <x:c r="G16" s="312" t="n">
        <x:f>'Stage 4 Assumptions'!D8</x:f>
        <x:v>2</x:v>
      </x:c>
      <x:c r="H16" s="312" t="n">
        <x:f>'Stage 4 Assumptions'!E8</x:f>
        <x:v>0.8</x:v>
      </x:c>
      <x:c r="I16" s="310" t="n">
        <x:f>(Assumptions!$L$7+F16)/2</x:f>
        <x:v>157022.46</x:v>
      </x:c>
      <x:c r="J16" s="310" t="n">
        <x:f>E16*SQRT('Stage 4 Assumptions'!B8)</x:f>
        <x:v>16.004149461936425</x:v>
      </x:c>
      <x:c r="K16" s="314" t="n">
        <x:f>'Stage 4 Assumptions'!Q15*'Stage 4 Assumptions'!G33</x:f>
        <x:v>857.4</x:v>
      </x:c>
      <x:c r="L16" s="316" t="n">
        <x:f>'Stage 4 Assumptions'!E15+K16/J16+'Stage 4 Assumptions'!E15*'Stage 4 Assumptions'!H33</x:f>
        <x:v>130.03993699753084</x:v>
      </x:c>
      <x:c r="M16" s="318" t="n">
        <x:f>'Stage 4 Assumptions'!G15+O16*'Stage 4 Assumptions'!O15+(K16*'Stage 4 Assumptions'!R15)*1000000/I16</x:f>
        <x:v>14886.239818634862</x:v>
      </x:c>
      <x:c r="N16" s="318" t="n">
        <x:f>M16/(L16*1000000)*100000000</x:f>
        <x:v>11447.436966166415</x:v>
      </x:c>
      <x:c r="O16" s="318" t="n">
        <x:f>8*'Stage 4 Assumptions'!L15*((1+'Stage 4 Assumptions'!F33)/2)/(1+H16/2)</x:f>
        <x:v>6923.4285714285725</x:v>
      </x:c>
      <x:c r="P16" s="287" t="n">
        <x:f>'Stage 4 Assumptions'!M15*(1+H16)/(1+'Stage 4 Assumptions'!S15)</x:f>
        <x:v>59727.27272727272</x:v>
      </x:c>
      <x:c r="Q16" s="314" t="n">
        <x:f>4*'Stage 4 Assumptions'!L15*'Stage 4 Assumptions'!F33/(1+H16)*MAX(F16-P16,0)/1000000</x:f>
        <x:v>582.583398749091</x:v>
      </x:c>
      <x:c r="R16" s="314" t="n">
        <x:f>M16*F16/1000000</x:f>
        <x:v>3506.210994708</x:v>
      </x:c>
      <x:c r="S16" s="314" t="n">
        <x:f>Q16*'Stage 4 Assumptions'!P15</x:f>
        <x:v>2912.916993745455</x:v>
      </x:c>
      <x:c r="T16" s="314" t="n">
        <x:f>'Stage 4 Assumptions'!T15*'Stage 4 Assumptions'!U15*'Stage 4 Assumptions'!V15*'Stage 4 Assumptions'!W15</x:f>
        <x:v>0</x:v>
      </x:c>
      <x:c r="U16" s="314" t="n">
        <x:f>'Stage 4 Assumptions'!I15+'Stage 4 Assumptions'!J15-'Stage 4 Assumptions'!H15-(O16*(1-'Stage 4 Assumptions'!O15)*I16/1000000-O16*(('Stage 4 Assumptions'!M15+P16)/2)/1000000-'Stage 4 Assumptions'!N15*2+K16*(1-'Stage 4 Assumptions'!R15))</x:f>
        <x:v>151.82581030732467</x:v>
      </x:c>
      <x:c r="V16" s="314" t="n">
        <x:f>MAX(R16+S16+T16-U16,0)</x:f>
        <x:v>6267.302178146129</x:v>
      </x:c>
      <x:c r="W16" s="320" t="n">
        <x:f>V16/L16</x:f>
        <x:v>48.195210816390436</x:v>
      </x:c>
      <x:c r="X16" s="312" t="n">
        <x:f>W16/E16-1</x:f>
        <x:v>4.215931906535761</x:v>
      </x:c>
      <x:c r="Y16" s="312" t="n">
        <x:f>X16-G16</x:f>
        <x:v>2.2159319065357614</x:v>
      </x:c>
      <x:c r="Z16" s="283" t="str">
        <x:f>"N/A"</x:f>
        <x:v>N/A</x:v>
      </x:c>
      <x:c r="AA16" s="322" t="str">
        <x:f>"Rebuilt"</x:f>
        <x:v>Rebuilt</x:v>
      </x:c>
      <x:c r="AB16" s="283" t="str">
        <x:f>'Stage 4 Assumptions'!I33</x:f>
        <x:v>ATM utilization, production and cost</x:v>
      </x:c>
    </x:row>
    <x:row r="17">
      <x:c r="A17" s="283" t="str">
        <x:f>'Stage 4 Assumptions'!A16</x:f>
        <x:v>CleanSpark</x:v>
      </x:c>
      <x:c r="B17" s="283" t="str">
        <x:f>'Stage 4 Assumptions'!B16</x:f>
        <x:v>CLSK</x:v>
      </x:c>
      <x:c r="C17" s="283" t="str">
        <x:f>'Stage 4 Assumptions'!C16</x:f>
        <x:v>Miner</x:v>
      </x:c>
      <x:c r="D17" s="283" t="str">
        <x:f>'Stage 4 Assumptions'!A6</x:f>
        <x:v>BTC +50%</x:v>
      </x:c>
      <x:c r="E17" s="310" t="n">
        <x:f>'Stage 4 Assumptions'!D16</x:f>
        <x:v>12.71</x:v>
      </x:c>
      <x:c r="F17" s="310" t="n">
        <x:f>'Stage 4 Assumptions'!C6</x:f>
        <x:v>117766.845</x:v>
      </x:c>
      <x:c r="G17" s="312" t="n">
        <x:f>'Stage 4 Assumptions'!D6</x:f>
        <x:v>0.5</x:v>
      </x:c>
      <x:c r="H17" s="312" t="n">
        <x:f>'Stage 4 Assumptions'!E6</x:f>
        <x:v>0.25</x:v>
      </x:c>
      <x:c r="I17" s="310" t="n">
        <x:f>(Assumptions!$L$7+F17)/2</x:f>
        <x:v>98139.0375</x:v>
      </x:c>
      <x:c r="J17" s="310" t="n">
        <x:f>E17*SQRT('Stage 4 Assumptions'!B6)</x:f>
        <x:v>15.566507315387096</x:v>
      </x:c>
      <x:c r="K17" s="314" t="n">
        <x:f>'Stage 4 Assumptions'!Q16*'Stage 4 Assumptions'!G34</x:f>
        <x:v>0</x:v>
      </x:c>
      <x:c r="L17" s="316" t="n">
        <x:f>'Stage 4 Assumptions'!E16+K17/J17+'Stage 4 Assumptions'!E16*'Stage 4 Assumptions'!H34</x:f>
        <x:v>335.17264935</x:v>
      </x:c>
      <x:c r="M17" s="318" t="n">
        <x:f>'Stage 4 Assumptions'!G16+O17*'Stage 4 Assumptions'!O16+(K17*'Stage 4 Assumptions'!R16)*1000000/I17</x:f>
        <x:v>19306.573333333334</x:v>
      </x:c>
      <x:c r="N17" s="318" t="n">
        <x:f>M17/(L17*1000000)*100000000</x:f>
        <x:v>5760.187584152392</x:v>
      </x:c>
      <x:c r="O17" s="318" t="n">
        <x:f>8*'Stage 4 Assumptions'!L16*((1+'Stage 4 Assumptions'!F34)/2)/(1+H17/2)</x:f>
        <x:v>13438.933333333332</x:v>
      </x:c>
      <x:c r="P17" s="287" t="n">
        <x:f>'Stage 4 Assumptions'!M16*(1+H17)/(1+'Stage 4 Assumptions'!S16)</x:f>
        <x:v>50360.22727272727</x:v>
      </x:c>
      <x:c r="Q17" s="314" t="n">
        <x:f>4*'Stage 4 Assumptions'!L16*'Stage 4 Assumptions'!F34/(1+H17)*MAX(F17-P17,0)/1000000</x:f>
        <x:v>436.0830689895273</x:v>
      </x:c>
      <x:c r="R17" s="314" t="n">
        <x:f>M17*F17/1000000</x:f>
        <x:v>2273.6742292278</x:v>
      </x:c>
      <x:c r="S17" s="314" t="n">
        <x:f>Q17*'Stage 4 Assumptions'!P16</x:f>
        <x:v>2180.4153449476366</x:v>
      </x:c>
      <x:c r="T17" s="314" t="n">
        <x:f>'Stage 4 Assumptions'!T16*'Stage 4 Assumptions'!U16*'Stage 4 Assumptions'!V16*'Stage 4 Assumptions'!W16</x:f>
        <x:v>1312.5</x:v>
      </x:c>
      <x:c r="U17" s="314" t="n">
        <x:f>'Stage 4 Assumptions'!I16+'Stage 4 Assumptions'!J16-'Stage 4 Assumptions'!H16-(O17*(1-'Stage 4 Assumptions'!O16)*I17/1000000-O17*(('Stage 4 Assumptions'!M16+P17)/2)/1000000-'Stage 4 Assumptions'!N16*2+K17*(1-'Stage 4 Assumptions'!R16))</x:f>
        <x:v>1715.1270833355152</x:v>
      </x:c>
      <x:c r="V17" s="314" t="n">
        <x:f>MAX(R17+S17+T17-U17,0)</x:f>
        <x:v>4051.4624908399214</x:v>
      </x:c>
      <x:c r="W17" s="320" t="n">
        <x:f>V17/L17</x:f>
        <x:v>12.087688236784592</x:v>
      </x:c>
      <x:c r="X17" s="312" t="n">
        <x:f>W17/E17-1</x:f>
        <x:v>-0.04896237318767971</x:v>
      </x:c>
      <x:c r="Y17" s="312" t="n">
        <x:f>X17-G17</x:f>
        <x:v>-0.5489623731876797</x:v>
      </x:c>
      <x:c r="Z17" s="283" t="str">
        <x:f>"N/A"</x:f>
        <x:v>N/A</x:v>
      </x:c>
      <x:c r="AA17" s="322" t="str">
        <x:f>"Rebuilt"</x:f>
        <x:v>Rebuilt</x:v>
      </x:c>
      <x:c r="AB17" s="283" t="str">
        <x:f>'Stage 4 Assumptions'!I34</x:f>
        <x:v>HPC probability, capex and cost</x:v>
      </x:c>
    </x:row>
    <x:row r="18">
      <x:c r="A18" s="283" t="str">
        <x:f>'Stage 4 Assumptions'!A16</x:f>
        <x:v>CleanSpark</x:v>
      </x:c>
      <x:c r="B18" s="283" t="str">
        <x:f>'Stage 4 Assumptions'!B16</x:f>
        <x:v>CLSK</x:v>
      </x:c>
      <x:c r="C18" s="283" t="str">
        <x:f>'Stage 4 Assumptions'!C16</x:f>
        <x:v>Miner</x:v>
      </x:c>
      <x:c r="D18" s="283" t="str">
        <x:f>'Stage 4 Assumptions'!A7</x:f>
        <x:v>BTC +100%</x:v>
      </x:c>
      <x:c r="E18" s="310" t="n">
        <x:f>'Stage 4 Assumptions'!D16</x:f>
        <x:v>12.71</x:v>
      </x:c>
      <x:c r="F18" s="310" t="n">
        <x:f>'Stage 4 Assumptions'!C7</x:f>
        <x:v>157022.46</x:v>
      </x:c>
      <x:c r="G18" s="312" t="n">
        <x:f>'Stage 4 Assumptions'!D7</x:f>
        <x:v>1</x:v>
      </x:c>
      <x:c r="H18" s="312" t="n">
        <x:f>'Stage 4 Assumptions'!E7</x:f>
        <x:v>0.45</x:v>
      </x:c>
      <x:c r="I18" s="310" t="n">
        <x:f>(Assumptions!$L$7+F18)/2</x:f>
        <x:v>117766.845</x:v>
      </x:c>
      <x:c r="J18" s="310" t="n">
        <x:f>E18*SQRT('Stage 4 Assumptions'!B7)</x:f>
        <x:v>17.97465437776204</x:v>
      </x:c>
      <x:c r="K18" s="314" t="n">
        <x:f>'Stage 4 Assumptions'!Q16*'Stage 4 Assumptions'!G35</x:f>
        <x:v>0</x:v>
      </x:c>
      <x:c r="L18" s="316" t="n">
        <x:f>'Stage 4 Assumptions'!E16+K18/J18+'Stage 4 Assumptions'!E16*'Stage 4 Assumptions'!H35</x:f>
        <x:v>344.74901076</x:v>
      </x:c>
      <x:c r="M18" s="318" t="n">
        <x:f>'Stage 4 Assumptions'!G16+O18*'Stage 4 Assumptions'!O16+(K18*'Stage 4 Assumptions'!R16)*1000000/I18</x:f>
        <x:v>19212.17551020408</x:v>
      </x:c>
      <x:c r="N18" s="318" t="n">
        <x:f>M18/(L18*1000000)*100000000</x:f>
        <x:v>5572.800765359933</x:v>
      </x:c>
      <x:c r="O18" s="318" t="n">
        <x:f>8*'Stage 4 Assumptions'!L16*((1+'Stage 4 Assumptions'!F35)/2)/(1+H18/2)</x:f>
        <x:v>13202.938775510202</x:v>
      </x:c>
      <x:c r="P18" s="287" t="n">
        <x:f>'Stage 4 Assumptions'!M16*(1+H18)/(1+'Stage 4 Assumptions'!S16)</x:f>
        <x:v>58417.86363636363</x:v>
      </x:c>
      <x:c r="Q18" s="314" t="n">
        <x:f>4*'Stage 4 Assumptions'!L16*'Stage 4 Assumptions'!F35/(1+H18)*MAX(F18-P18,0)/1000000</x:f>
        <x:v>621.6577780122883</x:v>
      </x:c>
      <x:c r="R18" s="314" t="n">
        <x:f>M18*F18/1000000</x:f>
        <x:v>3016.7430605639997</x:v>
      </x:c>
      <x:c r="S18" s="314" t="n">
        <x:f>Q18*'Stage 4 Assumptions'!P16</x:f>
        <x:v>3108.2888900614416</x:v>
      </x:c>
      <x:c r="T18" s="314" t="n">
        <x:f>'Stage 4 Assumptions'!T16*'Stage 4 Assumptions'!U16*'Stage 4 Assumptions'!V16*'Stage 4 Assumptions'!W16</x:f>
        <x:v>1312.5</x:v>
      </x:c>
      <x:c r="U18" s="314" t="n">
        <x:f>'Stage 4 Assumptions'!I16+'Stage 4 Assumptions'!J16-'Stage 4 Assumptions'!H16-(O18*(1-'Stage 4 Assumptions'!O16)*I18/1000000-O18*(('Stage 4 Assumptions'!M16+P18)/2)/1000000-'Stage 4 Assumptions'!N16*2+K18*(1-'Stage 4 Assumptions'!R16))</x:f>
        <x:v>1615.5569907586494</x:v>
      </x:c>
      <x:c r="V18" s="314" t="n">
        <x:f>MAX(R18+S18+T18-U18,0)</x:f>
        <x:v>5821.974959866792</x:v>
      </x:c>
      <x:c r="W18" s="320" t="n">
        <x:f>V18/L18</x:f>
        <x:v>16.887575535118245</x:v>
      </x:c>
      <x:c r="X18" s="312" t="n">
        <x:f>W18/E18-1</x:f>
        <x:v>0.32868414910450383</x:v>
      </x:c>
      <x:c r="Y18" s="312" t="n">
        <x:f>X18-G18</x:f>
        <x:v>-0.6713158508954962</x:v>
      </x:c>
      <x:c r="Z18" s="283" t="str">
        <x:f>"N/A"</x:f>
        <x:v>N/A</x:v>
      </x:c>
      <x:c r="AA18" s="322" t="str">
        <x:f>"Rebuilt"</x:f>
        <x:v>Rebuilt</x:v>
      </x:c>
      <x:c r="AB18" s="283" t="str">
        <x:f>'Stage 4 Assumptions'!I35</x:f>
        <x:v>HPC probability, capex and cost</x:v>
      </x:c>
    </x:row>
    <x:row r="19">
      <x:c r="A19" s="283" t="str">
        <x:f>'Stage 4 Assumptions'!A16</x:f>
        <x:v>CleanSpark</x:v>
      </x:c>
      <x:c r="B19" s="283" t="str">
        <x:f>'Stage 4 Assumptions'!B16</x:f>
        <x:v>CLSK</x:v>
      </x:c>
      <x:c r="C19" s="283" t="str">
        <x:f>'Stage 4 Assumptions'!C16</x:f>
        <x:v>Miner</x:v>
      </x:c>
      <x:c r="D19" s="283" t="str">
        <x:f>'Stage 4 Assumptions'!A8</x:f>
        <x:v>BTC +200%</x:v>
      </x:c>
      <x:c r="E19" s="310" t="n">
        <x:f>'Stage 4 Assumptions'!D16</x:f>
        <x:v>12.71</x:v>
      </x:c>
      <x:c r="F19" s="310" t="n">
        <x:f>'Stage 4 Assumptions'!C8</x:f>
        <x:v>235533.69</x:v>
      </x:c>
      <x:c r="G19" s="312" t="n">
        <x:f>'Stage 4 Assumptions'!D8</x:f>
        <x:v>2</x:v>
      </x:c>
      <x:c r="H19" s="312" t="n">
        <x:f>'Stage 4 Assumptions'!E8</x:f>
        <x:v>0.8</x:v>
      </x:c>
      <x:c r="I19" s="310" t="n">
        <x:f>(Assumptions!$L$7+F19)/2</x:f>
        <x:v>157022.46</x:v>
      </x:c>
      <x:c r="J19" s="310" t="n">
        <x:f>E19*SQRT('Stage 4 Assumptions'!B8)</x:f>
        <x:v>22.01436576420043</x:v>
      </x:c>
      <x:c r="K19" s="314" t="n">
        <x:f>'Stage 4 Assumptions'!Q16*'Stage 4 Assumptions'!G36</x:f>
        <x:v>0</x:v>
      </x:c>
      <x:c r="L19" s="316" t="n">
        <x:f>'Stage 4 Assumptions'!E16+K19/J19+'Stage 4 Assumptions'!E16*'Stage 4 Assumptions'!H36</x:f>
        <x:v>357.51749264</x:v>
      </x:c>
      <x:c r="M19" s="318" t="n">
        <x:f>'Stage 4 Assumptions'!G16+O19*'Stage 4 Assumptions'!O16+(K19*'Stage 4 Assumptions'!R16)*1000000/I19</x:f>
        <x:v>18953.857142857145</x:v>
      </x:c>
      <x:c r="N19" s="318" t="n">
        <x:f>M19/(L19*1000000)*100000000</x:f>
        <x:v>5301.5188160157</x:v>
      </x:c>
      <x:c r="O19" s="318" t="n">
        <x:f>8*'Stage 4 Assumptions'!L16*((1+'Stage 4 Assumptions'!F36)/2)/(1+H19/2)</x:f>
        <x:v>12557.142857142859</x:v>
      </x:c>
      <x:c r="P19" s="287" t="n">
        <x:f>'Stage 4 Assumptions'!M16*(1+H19)/(1+'Stage 4 Assumptions'!S16)</x:f>
        <x:v>72518.72727272728</x:v>
      </x:c>
      <x:c r="Q19" s="314" t="n">
        <x:f>4*'Stage 4 Assumptions'!L16*'Stage 4 Assumptions'!F36/(1+H19)*MAX(F19-P19,0)/1000000</x:f>
        <x:v>955.2676815818181</x:v>
      </x:c>
      <x:c r="R19" s="314" t="n">
        <x:f>M19*F19/1000000</x:f>
        <x:v>4464.27191259</x:v>
      </x:c>
      <x:c r="S19" s="314" t="n">
        <x:f>Q19*'Stage 4 Assumptions'!P16</x:f>
        <x:v>4776.33840790909</x:v>
      </x:c>
      <x:c r="T19" s="314" t="n">
        <x:f>'Stage 4 Assumptions'!T16*'Stage 4 Assumptions'!U16*'Stage 4 Assumptions'!V16*'Stage 4 Assumptions'!W16</x:f>
        <x:v>1312.5</x:v>
      </x:c>
      <x:c r="U19" s="314" t="n">
        <x:f>'Stage 4 Assumptions'!I16+'Stage 4 Assumptions'!J16-'Stage 4 Assumptions'!H16-(O19*(1-'Stage 4 Assumptions'!O16)*I19/1000000-O19*(('Stage 4 Assumptions'!M16+P19)/2)/1000000-'Stage 4 Assumptions'!N16*2+K19*(1-'Stage 4 Assumptions'!R16))</x:f>
        <x:v>1420.7863818909093</x:v>
      </x:c>
      <x:c r="V19" s="314" t="n">
        <x:f>MAX(R19+S19+T19-U19,0)</x:f>
        <x:v>9132.32393860818</x:v>
      </x:c>
      <x:c r="W19" s="320" t="n">
        <x:f>V19/L19</x:f>
        <x:v>25.543712200409498</x:v>
      </x:c>
      <x:c r="X19" s="312" t="n">
        <x:f>W19/E19-1</x:f>
        <x:v>1.0097334540054677</x:v>
      </x:c>
      <x:c r="Y19" s="312" t="n">
        <x:f>X19-G19</x:f>
        <x:v>-0.9902665459945323</x:v>
      </x:c>
      <x:c r="Z19" s="283" t="str">
        <x:f>"N/A"</x:f>
        <x:v>N/A</x:v>
      </x:c>
      <x:c r="AA19" s="322" t="str">
        <x:f>"Rebuilt"</x:f>
        <x:v>Rebuilt</x:v>
      </x:c>
      <x:c r="AB19" s="283" t="str">
        <x:f>'Stage 4 Assumptions'!I36</x:f>
        <x:v>HPC probability, capex and cost</x:v>
      </x:c>
    </x:row>
    <x:row r="20">
      <x:c r="A20" s="283" t="str">
        <x:f>'Stage 4 Assumptions'!A17</x:f>
        <x:v>MARA</x:v>
      </x:c>
      <x:c r="B20" s="283" t="str">
        <x:f>'Stage 4 Assumptions'!B17</x:f>
        <x:v>MARA</x:v>
      </x:c>
      <x:c r="C20" s="283" t="str">
        <x:f>'Stage 4 Assumptions'!C17</x:f>
        <x:v>Miner</x:v>
      </x:c>
      <x:c r="D20" s="283" t="str">
        <x:f>'Stage 4 Assumptions'!A6</x:f>
        <x:v>BTC +50%</x:v>
      </x:c>
      <x:c r="E20" s="310" t="n">
        <x:f>'Stage 4 Assumptions'!D17</x:f>
        <x:v>11.83</x:v>
      </x:c>
      <x:c r="F20" s="310" t="n">
        <x:f>'Stage 4 Assumptions'!C6</x:f>
        <x:v>117766.845</x:v>
      </x:c>
      <x:c r="G20" s="312" t="n">
        <x:f>'Stage 4 Assumptions'!D6</x:f>
        <x:v>0.5</x:v>
      </x:c>
      <x:c r="H20" s="312" t="n">
        <x:f>'Stage 4 Assumptions'!E6</x:f>
        <x:v>0.25</x:v>
      </x:c>
      <x:c r="I20" s="310" t="n">
        <x:f>(Assumptions!$L$7+F20)/2</x:f>
        <x:v>98139.0375</x:v>
      </x:c>
      <x:c r="J20" s="310" t="n">
        <x:f>E20*SQRT('Stage 4 Assumptions'!B6)</x:f>
        <x:v>14.488731828562496</x:v>
      </x:c>
      <x:c r="K20" s="314" t="n">
        <x:f>'Stage 4 Assumptions'!Q17*'Stage 4 Assumptions'!G37</x:f>
        <x:v>300</x:v>
      </x:c>
      <x:c r="L20" s="316" t="n">
        <x:f>'Stage 4 Assumptions'!E17+K20/J20+'Stage 4 Assumptions'!E17*'Stage 4 Assumptions'!H37</x:f>
        <x:v>503.7666242437801</x:v>
      </x:c>
      <x:c r="M20" s="318" t="n">
        <x:f>'Stage 4 Assumptions'!G17+O20*'Stage 4 Assumptions'!O17+(K20*'Stage 4 Assumptions'!R17)*1000000/I20</x:f>
        <x:v>39958.0752159863</x:v>
      </x:c>
      <x:c r="N20" s="318" t="n">
        <x:f>M20/(L20*1000000)*100000000</x:f>
        <x:v>7931.862353122067</x:v>
      </x:c>
      <x:c r="O20" s="318" t="n">
        <x:f>8*'Stage 4 Assumptions'!L17*((1+'Stage 4 Assumptions'!F37)/2)/(1+H20/2)</x:f>
        <x:v>18084.266666666666</x:v>
      </x:c>
      <x:c r="P20" s="287" t="n">
        <x:f>'Stage 4 Assumptions'!M17*(1+H20)/(1+'Stage 4 Assumptions'!S17)</x:f>
        <x:v>44780.09259259259</x:v>
      </x:c>
      <x:c r="Q20" s="314" t="n">
        <x:f>4*'Stage 4 Assumptions'!L17*'Stage 4 Assumptions'!F37/(1+H20)*MAX(F20-P20,0)/1000000</x:f>
        <x:v>622.2441784442076</x:v>
      </x:c>
      <x:c r="R20" s="314" t="n">
        <x:f>M20*F20/1000000</x:f>
        <x:v>4705.7364504594</x:v>
      </x:c>
      <x:c r="S20" s="314" t="n">
        <x:f>Q20*'Stage 4 Assumptions'!P17</x:f>
        <x:v>3111.220892221038</x:v>
      </x:c>
      <x:c r="T20" s="314" t="n">
        <x:f>'Stage 4 Assumptions'!T17*'Stage 4 Assumptions'!U17*'Stage 4 Assumptions'!V17*'Stage 4 Assumptions'!W17</x:f>
        <x:v>150</x:v>
      </x:c>
      <x:c r="U20" s="314" t="n">
        <x:f>'Stage 4 Assumptions'!I17+'Stage 4 Assumptions'!J17-'Stage 4 Assumptions'!H17-(O20*(1-'Stage 4 Assumptions'!O17)*I20/1000000-O20*(('Stage 4 Assumptions'!M17+P20)/2)/1000000-'Stage 4 Assumptions'!N17*2+K20*(1-'Stage 4 Assumptions'!R17))</x:f>
        <x:v>1513.042686919901</x:v>
      </x:c>
      <x:c r="V20" s="314" t="n">
        <x:f>MAX(R20+S20+T20-U20,0)</x:f>
        <x:v>6453.914655760537</x:v>
      </x:c>
      <x:c r="W20" s="320" t="n">
        <x:f>V20/L20</x:f>
        <x:v>12.811318466062954</x:v>
      </x:c>
      <x:c r="X20" s="312" t="n">
        <x:f>W20/E20-1</x:f>
        <x:v>0.08295168774834782</x:v>
      </x:c>
      <x:c r="Y20" s="312" t="n">
        <x:f>X20-G20</x:f>
        <x:v>-0.4170483122516522</x:v>
      </x:c>
      <x:c r="Z20" s="283" t="str">
        <x:f>"N/A"</x:f>
        <x:v>N/A</x:v>
      </x:c>
      <x:c r="AA20" s="322" t="str">
        <x:f>"Rebuilt"</x:f>
        <x:v>Rebuilt</x:v>
      </x:c>
      <x:c r="AB20" s="283" t="str">
        <x:f>'Stage 4 Assumptions'!I37</x:f>
        <x:v>ATM, BTC sales and infrastructure value</x:v>
      </x:c>
    </x:row>
    <x:row r="21">
      <x:c r="A21" s="283" t="str">
        <x:f>'Stage 4 Assumptions'!A17</x:f>
        <x:v>MARA</x:v>
      </x:c>
      <x:c r="B21" s="283" t="str">
        <x:f>'Stage 4 Assumptions'!B17</x:f>
        <x:v>MARA</x:v>
      </x:c>
      <x:c r="C21" s="283" t="str">
        <x:f>'Stage 4 Assumptions'!C17</x:f>
        <x:v>Miner</x:v>
      </x:c>
      <x:c r="D21" s="283" t="str">
        <x:f>'Stage 4 Assumptions'!A7</x:f>
        <x:v>BTC +100%</x:v>
      </x:c>
      <x:c r="E21" s="310" t="n">
        <x:f>'Stage 4 Assumptions'!D17</x:f>
        <x:v>11.83</x:v>
      </x:c>
      <x:c r="F21" s="310" t="n">
        <x:f>'Stage 4 Assumptions'!C7</x:f>
        <x:v>157022.46</x:v>
      </x:c>
      <x:c r="G21" s="312" t="n">
        <x:f>'Stage 4 Assumptions'!D7</x:f>
        <x:v>1</x:v>
      </x:c>
      <x:c r="H21" s="312" t="n">
        <x:f>'Stage 4 Assumptions'!E7</x:f>
        <x:v>0.45</x:v>
      </x:c>
      <x:c r="I21" s="310" t="n">
        <x:f>(Assumptions!$L$7+F21)/2</x:f>
        <x:v>117766.845</x:v>
      </x:c>
      <x:c r="J21" s="310" t="n">
        <x:f>E21*SQRT('Stage 4 Assumptions'!B7)</x:f>
        <x:v>16.730146442873714</x:v>
      </x:c>
      <x:c r="K21" s="314" t="n">
        <x:f>'Stage 4 Assumptions'!Q17*'Stage 4 Assumptions'!G38</x:f>
        <x:v>525</x:v>
      </x:c>
      <x:c r="L21" s="316" t="n">
        <x:f>'Stage 4 Assumptions'!E17+K21/J21+'Stage 4 Assumptions'!E17*'Stage 4 Assumptions'!H38</x:f>
        <x:v>523.8211796550243</x:v>
      </x:c>
      <x:c r="M21" s="318" t="n">
        <x:f>'Stage 4 Assumptions'!G17+O21*'Stage 4 Assumptions'!O17+(K21*'Stage 4 Assumptions'!R17)*1000000/I21</x:f>
        <x:v>40250.34738839272</x:v>
      </x:c>
      <x:c r="N21" s="318" t="n">
        <x:f>M21/(L21*1000000)*100000000</x:f>
        <x:v>7683.986244103496</x:v>
      </x:c>
      <x:c r="O21" s="318" t="n">
        <x:f>8*'Stage 4 Assumptions'!L17*((1+'Stage 4 Assumptions'!F38)/2)/(1+H21/2)</x:f>
        <x:v>17794.285714285714</x:v>
      </x:c>
      <x:c r="P21" s="287" t="n">
        <x:f>'Stage 4 Assumptions'!M17*(1+H21)/(1+'Stage 4 Assumptions'!S17)</x:f>
        <x:v>51944.9074074074</x:v>
      </x:c>
      <x:c r="Q21" s="314" t="n">
        <x:f>4*'Stage 4 Assumptions'!L17*'Stage 4 Assumptions'!F38/(1+H21)*MAX(F21-P21,0)/1000000</x:f>
        <x:v>877.5787323422733</x:v>
      </x:c>
      <x:c r="R21" s="314" t="n">
        <x:f>M21*F21/1000000</x:f>
        <x:v>6320.208562780001</x:v>
      </x:c>
      <x:c r="S21" s="314" t="n">
        <x:f>Q21*'Stage 4 Assumptions'!P17</x:f>
        <x:v>4387.893661711367</x:v>
      </x:c>
      <x:c r="T21" s="314" t="n">
        <x:f>'Stage 4 Assumptions'!T17*'Stage 4 Assumptions'!U17*'Stage 4 Assumptions'!V17*'Stage 4 Assumptions'!W17</x:f>
        <x:v>150</x:v>
      </x:c>
      <x:c r="U21" s="314" t="n">
        <x:f>'Stage 4 Assumptions'!I17+'Stage 4 Assumptions'!J17-'Stage 4 Assumptions'!H17-(O21*(1-'Stage 4 Assumptions'!O17)*I21/1000000-O21*(('Stage 4 Assumptions'!M17+P21)/2)/1000000-'Stage 4 Assumptions'!N17*2+K21*(1-'Stage 4 Assumptions'!R17))</x:f>
        <x:v>1139.2932089676187</x:v>
      </x:c>
      <x:c r="V21" s="314" t="n">
        <x:f>MAX(R21+S21+T21-U21,0)</x:f>
        <x:v>9718.809015523748</x:v>
      </x:c>
      <x:c r="W21" s="320" t="n">
        <x:f>V21/L21</x:f>
        <x:v>18.553677081030433</x:v>
      </x:c>
      <x:c r="X21" s="312" t="n">
        <x:f>W21/E21-1</x:f>
        <x:v>0.5683581640769597</x:v>
      </x:c>
      <x:c r="Y21" s="312" t="n">
        <x:f>X21-G21</x:f>
        <x:v>-0.4316418359230403</x:v>
      </x:c>
      <x:c r="Z21" s="283" t="str">
        <x:f>"N/A"</x:f>
        <x:v>N/A</x:v>
      </x:c>
      <x:c r="AA21" s="322" t="str">
        <x:f>"Rebuilt"</x:f>
        <x:v>Rebuilt</x:v>
      </x:c>
      <x:c r="AB21" s="283" t="str">
        <x:f>'Stage 4 Assumptions'!I38</x:f>
        <x:v>ATM, BTC sales and infrastructure value</x:v>
      </x:c>
    </x:row>
    <x:row r="22">
      <x:c r="A22" s="284" t="str">
        <x:f>'Stage 4 Assumptions'!A17</x:f>
        <x:v>MARA</x:v>
      </x:c>
      <x:c r="B22" s="284" t="str">
        <x:f>'Stage 4 Assumptions'!B17</x:f>
        <x:v>MARA</x:v>
      </x:c>
      <x:c r="C22" s="284" t="str">
        <x:f>'Stage 4 Assumptions'!C17</x:f>
        <x:v>Miner</x:v>
      </x:c>
      <x:c r="D22" s="284" t="str">
        <x:f>'Stage 4 Assumptions'!A8</x:f>
        <x:v>BTC +200%</x:v>
      </x:c>
      <x:c r="E22" s="311" t="n">
        <x:f>'Stage 4 Assumptions'!D17</x:f>
        <x:v>11.83</x:v>
      </x:c>
      <x:c r="F22" s="311" t="n">
        <x:f>'Stage 4 Assumptions'!C8</x:f>
        <x:v>235533.69</x:v>
      </x:c>
      <x:c r="G22" s="313" t="n">
        <x:f>'Stage 4 Assumptions'!D8</x:f>
        <x:v>2</x:v>
      </x:c>
      <x:c r="H22" s="313" t="n">
        <x:f>'Stage 4 Assumptions'!E8</x:f>
        <x:v>0.8</x:v>
      </x:c>
      <x:c r="I22" s="311" t="n">
        <x:f>(Assumptions!$L$7+F22)/2</x:f>
        <x:v>157022.46</x:v>
      </x:c>
      <x:c r="J22" s="311" t="n">
        <x:f>E22*SQRT('Stage 4 Assumptions'!B8)</x:f>
        <x:v>20.49016105353982</x:v>
      </x:c>
      <x:c r="K22" s="315" t="n">
        <x:f>'Stage 4 Assumptions'!Q17*'Stage 4 Assumptions'!G39</x:f>
        <x:v>750</x:v>
      </x:c>
      <x:c r="L22" s="317" t="n">
        <x:f>'Stage 4 Assumptions'!E17+K22/J22+'Stage 4 Assumptions'!E17*'Stage 4 Assumptions'!H39</x:f>
        <x:v>543.1133689005765</x:v>
      </x:c>
      <x:c r="M22" s="319" t="n">
        <x:f>'Stage 4 Assumptions'!G17+O22*'Stage 4 Assumptions'!O17+(K22*'Stage 4 Assumptions'!R17)*1000000/I22</x:f>
        <x:v>40161.89669164526</x:v>
      </x:c>
      <x:c r="N22" s="319" t="n">
        <x:f>M22/(L22*1000000)*100000000</x:f>
        <x:v>7394.753838032919</x:v>
      </x:c>
      <x:c r="O22" s="319" t="n">
        <x:f>8*'Stage 4 Assumptions'!L17*((1+'Stage 4 Assumptions'!F39)/2)/(1+H22/2)</x:f>
        <x:v>16954.000000000004</x:v>
      </x:c>
      <x:c r="P22" s="288" t="n">
        <x:f>'Stage 4 Assumptions'!M17*(1+H22)/(1+'Stage 4 Assumptions'!S17)</x:f>
        <x:v>64483.33333333333</x:v>
      </x:c>
      <x:c r="Q22" s="315" t="n">
        <x:f>4*'Stage 4 Assumptions'!L17*'Stage 4 Assumptions'!F39/(1+H22)*MAX(F22-P22,0)/1000000</x:f>
        <x:v>1334.9149946170373</x:v>
      </x:c>
      <x:c r="R22" s="315" t="n">
        <x:f>M22*F22/1000000</x:f>
        <x:v>9459.479725182002</x:v>
      </x:c>
      <x:c r="S22" s="315" t="n">
        <x:f>Q22*'Stage 4 Assumptions'!P17</x:f>
        <x:v>6674.574973085187</x:v>
      </x:c>
      <x:c r="T22" s="315" t="n">
        <x:f>'Stage 4 Assumptions'!T17*'Stage 4 Assumptions'!U17*'Stage 4 Assumptions'!V17*'Stage 4 Assumptions'!W17</x:f>
        <x:v>150</x:v>
      </x:c>
      <x:c r="U22" s="315" t="n">
        <x:f>'Stage 4 Assumptions'!I17+'Stage 4 Assumptions'!J17-'Stage 4 Assumptions'!H17-(O22*(1-'Stage 4 Assumptions'!O17)*I22/1000000-O22*(('Stage 4 Assumptions'!M17+P22)/2)/1000000-'Stage 4 Assumptions'!N17*2+K22*(1-'Stage 4 Assumptions'!R17))</x:f>
        <x:v>585.4863171946663</x:v>
      </x:c>
      <x:c r="V22" s="315" t="n">
        <x:f>MAX(R22+S22+T22-U22,0)</x:f>
        <x:v>15698.56838107252</x:v>
      </x:c>
      <x:c r="W22" s="321" t="n">
        <x:f>V22/L22</x:f>
        <x:v>28.90477252079268</x:v>
      </x:c>
      <x:c r="X22" s="313" t="n">
        <x:f>W22/E22-1</x:f>
        <x:v>1.4433450989681047</x:v>
      </x:c>
      <x:c r="Y22" s="313" t="n">
        <x:f>X22-G22</x:f>
        <x:v>-0.5566549010318953</x:v>
      </x:c>
      <x:c r="Z22" s="284" t="str">
        <x:f>"N/A"</x:f>
        <x:v>N/A</x:v>
      </x:c>
      <x:c r="AA22" s="323" t="str">
        <x:f>"Rebuilt"</x:f>
        <x:v>Rebuilt</x:v>
      </x:c>
      <x:c r="AB22" s="284" t="str">
        <x:f>'Stage 4 Assumptions'!I39</x:f>
        <x:v>ATM, BTC sales and infrastructure value</x:v>
      </x:c>
    </x:row>
  </x:sheetData>
  <x:mergeCells>
    <x:mergeCell ref="A1:AB1"/>
    <x:mergeCell ref="A2:AB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8" hidden="0" customWidth="1"/>
  </x:cols>
  <x:sheetData>
    <x:row r="1" ht="28" customHeight="1">
      <x:c r="A1" s="396" t="str">
        <x:v>Stage 4 Execution Summary — Model Outputs Only</x:v>
      </x:c>
      <x:c r="B1" s="396"/>
      <x:c r="C1" s="396"/>
      <x:c r="D1" s="396"/>
      <x:c r="E1" s="396"/>
      <x:c r="F1" s="396"/>
      <x:c r="G1" s="396"/>
      <x:c r="H1" s="396"/>
      <x:c r="I1" s="396"/>
      <x:c r="J1" s="396"/>
      <x:c r="K1" s="396"/>
      <x:c r="L1" s="396"/>
      <x:c r="M1" s="396"/>
    </x:row>
    <x:row r="2" ht="30" customHeight="1">
      <x:c r="A2" s="269" t="str">
        <x:v>This sheet compares calculated outcomes across BTC scenarios. It deliberately does not select a winner; ranking, risk interpretation and the recommendation belong to Stage 5.</x:v>
      </x:c>
      <x:c r="B2" s="269"/>
      <x:c r="C2" s="269"/>
      <x:c r="D2" s="269"/>
      <x:c r="E2" s="269"/>
      <x:c r="F2" s="269"/>
      <x:c r="G2" s="269"/>
      <x:c r="H2" s="269"/>
      <x:c r="I2" s="269"/>
      <x:c r="J2" s="269"/>
      <x:c r="K2" s="269"/>
      <x:c r="L2" s="269"/>
      <x:c r="M2" s="269"/>
    </x:row>
    <x:row r="3">
      <x:c r="A3" s="195"/>
      <x:c r="B3" s="195"/>
      <x:c r="C3" s="195"/>
      <x:c r="D3" s="195"/>
      <x:c r="E3" s="195"/>
      <x:c r="F3" s="195"/>
      <x:c r="G3" s="195"/>
      <x:c r="H3" s="195"/>
      <x:c r="I3" s="195"/>
      <x:c r="J3" s="195"/>
      <x:c r="K3" s="195"/>
      <x:c r="L3" s="195"/>
      <x:c r="M3" s="195"/>
    </x:row>
    <x:row r="4" ht="34" customHeight="1">
      <x:c r="A4" s="275" t="str">
        <x:v>Company</x:v>
      </x:c>
      <x:c r="B4" s="275" t="str">
        <x:v>Ticker</x:v>
      </x:c>
      <x:c r="C4" s="275" t="str">
        <x:v>Current price</x:v>
      </x:c>
      <x:c r="D4" s="275" t="str">
        <x:v>Target +50%</x:v>
      </x:c>
      <x:c r="E4" s="275" t="str">
        <x:v>Stock return +50%</x:v>
      </x:c>
      <x:c r="F4" s="275" t="str">
        <x:v>Excess +50%</x:v>
      </x:c>
      <x:c r="G4" s="275" t="str">
        <x:v>Target +100%</x:v>
      </x:c>
      <x:c r="H4" s="275" t="str">
        <x:v>Stock return +100%</x:v>
      </x:c>
      <x:c r="I4" s="275" t="str">
        <x:v>Excess +100%</x:v>
      </x:c>
      <x:c r="J4" s="275" t="str">
        <x:v>Target +200%</x:v>
      </x:c>
      <x:c r="K4" s="275" t="str">
        <x:v>Stock return +200%</x:v>
      </x:c>
      <x:c r="L4" s="275" t="str">
        <x:v>Excess +200%</x:v>
      </x:c>
      <x:c r="M4" s="275" t="str">
        <x:v>Primary dependency</x:v>
      </x:c>
    </x:row>
    <x:row r="5">
      <x:c r="A5" s="397" t="str">
        <x:f>'Stage 4 Model'!A5</x:f>
        <x:v>Strategy</x:v>
      </x:c>
      <x:c r="B5" s="397" t="str">
        <x:f>'Stage 4 Model'!B5</x:f>
        <x:v>MSTR</x:v>
      </x:c>
      <x:c r="C5" s="398" t="n">
        <x:f>'Stage 4 Model'!E5</x:f>
        <x:v>126.83</x:v>
      </x:c>
      <x:c r="D5" s="398" t="n">
        <x:f>'Stage 4 Model'!W5</x:f>
        <x:v>209.71769141603264</x:v>
      </x:c>
      <x:c r="E5" s="399" t="n">
        <x:f>'Stage 4 Model'!X5</x:f>
        <x:v>0.6535337965468158</x:v>
      </x:c>
      <x:c r="F5" s="399" t="n">
        <x:f>'Stage 4 Model'!Y5</x:f>
        <x:v>0.15353379654681576</x:v>
      </x:c>
      <x:c r="G5" s="398" t="n">
        <x:f>'Stage 4 Model'!W6</x:f>
        <x:v>289.6512396178442</x:v>
      </x:c>
      <x:c r="H5" s="399" t="n">
        <x:f>'Stage 4 Model'!X6</x:f>
        <x:v>1.2837754444362077</x:v>
      </x:c>
      <x:c r="I5" s="399" t="n">
        <x:f>'Stage 4 Model'!Y6</x:f>
        <x:v>0.2837754444362077</x:v>
      </x:c>
      <x:c r="J5" s="398" t="n">
        <x:f>'Stage 4 Model'!W7</x:f>
        <x:v>440.69054152955977</x:v>
      </x:c>
      <x:c r="K5" s="399" t="n">
        <x:f>'Stage 4 Model'!X7</x:f>
        <x:v>2.4746553775097357</x:v>
      </x:c>
      <x:c r="L5" s="399" t="n">
        <x:f>'Stage 4 Model'!Y7</x:f>
        <x:v>0.47465537750973574</x:v>
      </x:c>
      <x:c r="M5" s="397" t="str">
        <x:f>'Stage 4 Model'!AB6</x:f>
        <x:v>Issuance price and fixed charges</x:v>
      </x:c>
    </x:row>
    <x:row r="6">
      <x:c r="A6" s="397" t="str">
        <x:f>'Stage 4 Model'!A8</x:f>
        <x:v>Metaplanet</x:v>
      </x:c>
      <x:c r="B6" s="397" t="str">
        <x:f>'Stage 4 Model'!B8</x:f>
        <x:v>3350.T</x:v>
      </x:c>
      <x:c r="C6" s="398" t="n">
        <x:f>'Stage 4 Model'!E8</x:f>
        <x:v>2.072603944228112</x:v>
      </x:c>
      <x:c r="D6" s="398" t="n">
        <x:f>'Stage 4 Model'!W8</x:f>
        <x:v>3.4032115463628108</x:v>
      </x:c>
      <x:c r="E6" s="399" t="n">
        <x:f>'Stage 4 Model'!X8</x:f>
        <x:v>0.6419980073087477</x:v>
      </x:c>
      <x:c r="F6" s="399" t="n">
        <x:f>'Stage 4 Model'!Y8</x:f>
        <x:v>0.14199800730874768</x:v>
      </x:c>
      <x:c r="G6" s="398" t="n">
        <x:f>'Stage 4 Model'!W9</x:f>
        <x:v>4.661641522711238</x:v>
      </x:c>
      <x:c r="H6" s="399" t="n">
        <x:f>'Stage 4 Model'!X9</x:f>
        <x:v>1.24917140377601</x:v>
      </x:c>
      <x:c r="I6" s="399" t="n">
        <x:f>'Stage 4 Model'!Y9</x:f>
        <x:v>0.24917140377601</x:v>
      </x:c>
      <x:c r="J6" s="398" t="n">
        <x:f>'Stage 4 Model'!W10</x:f>
        <x:v>6.971333176424162</x:v>
      </x:c>
      <x:c r="K6" s="399" t="n">
        <x:f>'Stage 4 Model'!X10</x:f>
        <x:v>2.363562631364409</x:v>
      </x:c>
      <x:c r="L6" s="399" t="n">
        <x:f>'Stage 4 Model'!Y10</x:f>
        <x:v>0.36356263136440914</x:v>
      </x:c>
      <x:c r="M6" s="397" t="str">
        <x:f>'Stage 4 Model'!AB9</x:f>
        <x:v>Cash gap and equity issuance</x:v>
      </x:c>
    </x:row>
    <x:row r="7">
      <x:c r="A7" s="397" t="str">
        <x:f>'Stage 4 Model'!A11</x:f>
        <x:v>Twenty One Capital</x:v>
      </x:c>
      <x:c r="B7" s="397" t="str">
        <x:f>'Stage 4 Model'!B11</x:f>
        <x:v>XXI</x:v>
      </x:c>
      <x:c r="C7" s="398" t="n">
        <x:f>'Stage 4 Model'!E11</x:f>
        <x:v>6.51</x:v>
      </x:c>
      <x:c r="D7" s="398" t="n">
        <x:f>'Stage 4 Model'!W11</x:f>
        <x:v>9.469221241200302</x:v>
      </x:c>
      <x:c r="E7" s="399" t="n">
        <x:f>'Stage 4 Model'!X11</x:f>
        <x:v>0.454565474838756</x:v>
      </x:c>
      <x:c r="F7" s="399" t="n">
        <x:f>'Stage 4 Model'!Y11</x:f>
        <x:v>-0.04543452516124402</x:v>
      </x:c>
      <x:c r="G7" s="398" t="n">
        <x:f>'Stage 4 Model'!W12</x:f>
        <x:v>12.625453524186637</x:v>
      </x:c>
      <x:c r="H7" s="399" t="n">
        <x:f>'Stage 4 Model'!X12</x:f>
        <x:v>0.9393937825171488</x:v>
      </x:c>
      <x:c r="I7" s="399" t="n">
        <x:f>'Stage 4 Model'!Y12</x:f>
        <x:v>-0.06060621748285122</x:v>
      </x:c>
      <x:c r="J7" s="398" t="n">
        <x:f>'Stage 4 Model'!W13</x:f>
        <x:v>17.963444180187686</x:v>
      </x:c>
      <x:c r="K7" s="399" t="n">
        <x:f>'Stage 4 Model'!X13</x:f>
        <x:v>1.7593616252208428</x:v>
      </x:c>
      <x:c r="L7" s="399" t="n">
        <x:f>'Stage 4 Model'!Y13</x:f>
        <x:v>-0.24063837477915717</x:v>
      </x:c>
      <x:c r="M7" s="397" t="str">
        <x:f>'Stage 4 Model'!AB12</x:f>
        <x:v>Conversion threshold and unquantified RSUs</x:v>
      </x:c>
    </x:row>
    <x:row r="8">
      <x:c r="A8" s="397" t="str">
        <x:f>'Stage 4 Model'!A14</x:f>
        <x:v>American Bitcoin</x:v>
      </x:c>
      <x:c r="B8" s="397" t="str">
        <x:f>'Stage 4 Model'!B14</x:f>
        <x:v>ABTC</x:v>
      </x:c>
      <x:c r="C8" s="398" t="n">
        <x:f>'Stage 4 Model'!E14</x:f>
        <x:v>9.24</x:v>
      </x:c>
      <x:c r="D8" s="398" t="n">
        <x:f>'Stage 4 Model'!W14</x:f>
        <x:v>24.090810715987963</x:v>
      </x:c>
      <x:c r="E8" s="399" t="n">
        <x:f>'Stage 4 Model'!X14</x:f>
        <x:v>1.6072305969683942</x:v>
      </x:c>
      <x:c r="F8" s="399" t="n">
        <x:f>'Stage 4 Model'!Y14</x:f>
        <x:v>1.1072305969683942</x:v>
      </x:c>
      <x:c r="G8" s="398" t="n">
        <x:f>'Stage 4 Model'!W15</x:f>
        <x:v>32.020964006223124</x:v>
      </x:c>
      <x:c r="H8" s="399" t="n">
        <x:f>'Stage 4 Model'!X15</x:f>
        <x:v>2.465472295045793</x:v>
      </x:c>
      <x:c r="I8" s="399" t="n">
        <x:f>'Stage 4 Model'!Y15</x:f>
        <x:v>1.4654722950457928</x:v>
      </x:c>
      <x:c r="J8" s="398" t="n">
        <x:f>'Stage 4 Model'!W16</x:f>
        <x:v>48.195210816390436</x:v>
      </x:c>
      <x:c r="K8" s="399" t="n">
        <x:f>'Stage 4 Model'!X16</x:f>
        <x:v>4.215931906535761</x:v>
      </x:c>
      <x:c r="L8" s="399" t="n">
        <x:f>'Stage 4 Model'!Y16</x:f>
        <x:v>2.2159319065357614</x:v>
      </x:c>
      <x:c r="M8" s="397" t="str">
        <x:f>'Stage 4 Model'!AB15</x:f>
        <x:v>ATM utilization, production and cost</x:v>
      </x:c>
    </x:row>
    <x:row r="9">
      <x:c r="A9" s="397" t="str">
        <x:f>'Stage 4 Model'!A17</x:f>
        <x:v>CleanSpark</x:v>
      </x:c>
      <x:c r="B9" s="397" t="str">
        <x:f>'Stage 4 Model'!B17</x:f>
        <x:v>CLSK</x:v>
      </x:c>
      <x:c r="C9" s="398" t="n">
        <x:f>'Stage 4 Model'!E17</x:f>
        <x:v>12.71</x:v>
      </x:c>
      <x:c r="D9" s="398" t="n">
        <x:f>'Stage 4 Model'!W17</x:f>
        <x:v>12.087688236784592</x:v>
      </x:c>
      <x:c r="E9" s="399" t="n">
        <x:f>'Stage 4 Model'!X17</x:f>
        <x:v>-0.04896237318767971</x:v>
      </x:c>
      <x:c r="F9" s="399" t="n">
        <x:f>'Stage 4 Model'!Y17</x:f>
        <x:v>-0.5489623731876797</x:v>
      </x:c>
      <x:c r="G9" s="398" t="n">
        <x:f>'Stage 4 Model'!W18</x:f>
        <x:v>16.887575535118245</x:v>
      </x:c>
      <x:c r="H9" s="399" t="n">
        <x:f>'Stage 4 Model'!X18</x:f>
        <x:v>0.32868414910450383</x:v>
      </x:c>
      <x:c r="I9" s="399" t="n">
        <x:f>'Stage 4 Model'!Y18</x:f>
        <x:v>-0.6713158508954962</x:v>
      </x:c>
      <x:c r="J9" s="398" t="n">
        <x:f>'Stage 4 Model'!W19</x:f>
        <x:v>25.543712200409498</x:v>
      </x:c>
      <x:c r="K9" s="399" t="n">
        <x:f>'Stage 4 Model'!X19</x:f>
        <x:v>1.0097334540054677</x:v>
      </x:c>
      <x:c r="L9" s="399" t="n">
        <x:f>'Stage 4 Model'!Y19</x:f>
        <x:v>-0.9902665459945323</x:v>
      </x:c>
      <x:c r="M9" s="397" t="str">
        <x:f>'Stage 4 Model'!AB18</x:f>
        <x:v>HPC probability, capex and cost</x:v>
      </x:c>
    </x:row>
    <x:row r="10">
      <x:c r="A10" s="400" t="str">
        <x:f>'Stage 4 Model'!A20</x:f>
        <x:v>MARA</x:v>
      </x:c>
      <x:c r="B10" s="400" t="str">
        <x:f>'Stage 4 Model'!B20</x:f>
        <x:v>MARA</x:v>
      </x:c>
      <x:c r="C10" s="401" t="n">
        <x:f>'Stage 4 Model'!E20</x:f>
        <x:v>11.83</x:v>
      </x:c>
      <x:c r="D10" s="401" t="n">
        <x:f>'Stage 4 Model'!W20</x:f>
        <x:v>12.811318466062954</x:v>
      </x:c>
      <x:c r="E10" s="402" t="n">
        <x:f>'Stage 4 Model'!X20</x:f>
        <x:v>0.08295168774834782</x:v>
      </x:c>
      <x:c r="F10" s="402" t="n">
        <x:f>'Stage 4 Model'!Y20</x:f>
        <x:v>-0.4170483122516522</x:v>
      </x:c>
      <x:c r="G10" s="401" t="n">
        <x:f>'Stage 4 Model'!W21</x:f>
        <x:v>18.553677081030433</x:v>
      </x:c>
      <x:c r="H10" s="402" t="n">
        <x:f>'Stage 4 Model'!X21</x:f>
        <x:v>0.5683581640769597</x:v>
      </x:c>
      <x:c r="I10" s="402" t="n">
        <x:f>'Stage 4 Model'!Y21</x:f>
        <x:v>-0.4316418359230403</x:v>
      </x:c>
      <x:c r="J10" s="401" t="n">
        <x:f>'Stage 4 Model'!W22</x:f>
        <x:v>28.90477252079268</x:v>
      </x:c>
      <x:c r="K10" s="402" t="n">
        <x:f>'Stage 4 Model'!X22</x:f>
        <x:v>1.4433450989681047</x:v>
      </x:c>
      <x:c r="L10" s="402" t="n">
        <x:f>'Stage 4 Model'!Y22</x:f>
        <x:v>-0.5566549010318953</x:v>
      </x:c>
      <x:c r="M10" s="400" t="str">
        <x:f>'Stage 4 Model'!AB21</x:f>
        <x:v>ATM, BTC sales and infrastructure value</x:v>
      </x:c>
    </x:row>
    <x:row r="11">
      <x:c r="A11" s="195"/>
      <x:c r="B11" s="195"/>
      <x:c r="C11" s="195"/>
      <x:c r="D11" s="195"/>
      <x:c r="E11" s="195"/>
      <x:c r="F11" s="195"/>
      <x:c r="G11" s="195"/>
      <x:c r="H11" s="195"/>
      <x:c r="I11" s="195"/>
      <x:c r="J11" s="195"/>
      <x:c r="K11" s="195"/>
      <x:c r="L11" s="195"/>
      <x:c r="M11" s="195"/>
    </x:row>
    <x:row r="12">
      <x:c r="A12" s="195"/>
      <x:c r="B12" s="195"/>
      <x:c r="C12" s="195"/>
      <x:c r="D12" s="195"/>
      <x:c r="E12" s="195"/>
      <x:c r="F12" s="195"/>
      <x:c r="G12" s="195"/>
      <x:c r="H12" s="195"/>
      <x:c r="I12" s="195"/>
      <x:c r="J12" s="195"/>
      <x:c r="K12" s="195"/>
      <x:c r="L12" s="195"/>
      <x:c r="M12" s="195"/>
    </x:row>
    <x:row r="13" ht="34" customHeight="1">
      <x:c r="A13" s="275" t="str">
        <x:v>Company</x:v>
      </x:c>
      <x:c r="B13" s="275" t="str">
        <x:v>Excess +50%</x:v>
      </x:c>
      <x:c r="C13" s="275" t="str">
        <x:v>Excess +100%</x:v>
      </x:c>
      <x:c r="D13" s="275" t="str">
        <x:v>Excess +200%</x:v>
      </x:c>
      <x:c r="E13" s="195"/>
      <x:c r="F13" s="195"/>
      <x:c r="G13" s="195"/>
      <x:c r="H13" s="195"/>
      <x:c r="I13" s="195"/>
      <x:c r="J13" s="195"/>
      <x:c r="K13" s="195"/>
      <x:c r="L13" s="195"/>
      <x:c r="M13" s="195"/>
    </x:row>
    <x:row r="14">
      <x:c r="A14" s="403" t="str">
        <x:f>A5</x:f>
        <x:v>Strategy</x:v>
      </x:c>
      <x:c r="B14" s="404" t="n">
        <x:f>F5</x:f>
        <x:v>0.15353379654681576</x:v>
      </x:c>
      <x:c r="C14" s="404" t="n">
        <x:f>I5</x:f>
        <x:v>0.2837754444362077</x:v>
      </x:c>
      <x:c r="D14" s="404" t="n">
        <x:f>L5</x:f>
        <x:v>0.47465537750973574</x:v>
      </x:c>
      <x:c r="E14" s="195"/>
      <x:c r="F14" s="195"/>
      <x:c r="G14" s="195"/>
      <x:c r="H14" s="195"/>
      <x:c r="I14" s="195"/>
      <x:c r="J14" s="195"/>
      <x:c r="K14" s="195"/>
      <x:c r="L14" s="195"/>
      <x:c r="M14" s="195"/>
    </x:row>
    <x:row r="15">
      <x:c r="A15" s="403" t="str">
        <x:f>A6</x:f>
        <x:v>Metaplanet</x:v>
      </x:c>
      <x:c r="B15" s="404" t="n">
        <x:f>F6</x:f>
        <x:v>0.14199800730874768</x:v>
      </x:c>
      <x:c r="C15" s="404" t="n">
        <x:f>I6</x:f>
        <x:v>0.24917140377601</x:v>
      </x:c>
      <x:c r="D15" s="404" t="n">
        <x:f>L6</x:f>
        <x:v>0.36356263136440914</x:v>
      </x:c>
      <x:c r="E15" s="195"/>
      <x:c r="F15" s="195"/>
      <x:c r="G15" s="195"/>
      <x:c r="H15" s="195"/>
      <x:c r="I15" s="195"/>
      <x:c r="J15" s="195"/>
      <x:c r="K15" s="195"/>
      <x:c r="L15" s="195"/>
      <x:c r="M15" s="195"/>
    </x:row>
    <x:row r="16">
      <x:c r="A16" s="403" t="str">
        <x:f>A7</x:f>
        <x:v>Twenty One Capital</x:v>
      </x:c>
      <x:c r="B16" s="404" t="n">
        <x:f>F7</x:f>
        <x:v>-0.04543452516124402</x:v>
      </x:c>
      <x:c r="C16" s="404" t="n">
        <x:f>I7</x:f>
        <x:v>-0.06060621748285122</x:v>
      </x:c>
      <x:c r="D16" s="404" t="n">
        <x:f>L7</x:f>
        <x:v>-0.24063837477915717</x:v>
      </x:c>
      <x:c r="E16" s="195"/>
      <x:c r="F16" s="195"/>
      <x:c r="G16" s="195"/>
      <x:c r="H16" s="195"/>
      <x:c r="I16" s="195"/>
      <x:c r="J16" s="195"/>
      <x:c r="K16" s="195"/>
      <x:c r="L16" s="195"/>
      <x:c r="M16" s="195"/>
    </x:row>
    <x:row r="17">
      <x:c r="A17" s="403" t="str">
        <x:f>A8</x:f>
        <x:v>American Bitcoin</x:v>
      </x:c>
      <x:c r="B17" s="404" t="n">
        <x:f>F8</x:f>
        <x:v>1.1072305969683942</x:v>
      </x:c>
      <x:c r="C17" s="404" t="n">
        <x:f>I8</x:f>
        <x:v>1.4654722950457928</x:v>
      </x:c>
      <x:c r="D17" s="404" t="n">
        <x:f>L8</x:f>
        <x:v>2.2159319065357614</x:v>
      </x:c>
      <x:c r="E17" s="195"/>
      <x:c r="F17" s="195"/>
      <x:c r="G17" s="195"/>
      <x:c r="H17" s="195"/>
      <x:c r="I17" s="195"/>
      <x:c r="J17" s="195"/>
      <x:c r="K17" s="195"/>
      <x:c r="L17" s="195"/>
      <x:c r="M17" s="195"/>
    </x:row>
    <x:row r="18">
      <x:c r="A18" s="403" t="str">
        <x:f>A9</x:f>
        <x:v>CleanSpark</x:v>
      </x:c>
      <x:c r="B18" s="404" t="n">
        <x:f>F9</x:f>
        <x:v>-0.5489623731876797</x:v>
      </x:c>
      <x:c r="C18" s="404" t="n">
        <x:f>I9</x:f>
        <x:v>-0.6713158508954962</x:v>
      </x:c>
      <x:c r="D18" s="404" t="n">
        <x:f>L9</x:f>
        <x:v>-0.9902665459945323</x:v>
      </x:c>
      <x:c r="E18" s="195"/>
      <x:c r="F18" s="195"/>
      <x:c r="G18" s="195"/>
      <x:c r="H18" s="195"/>
      <x:c r="I18" s="195"/>
      <x:c r="J18" s="195"/>
      <x:c r="K18" s="195"/>
      <x:c r="L18" s="195"/>
      <x:c r="M18" s="195"/>
    </x:row>
    <x:row r="19">
      <x:c r="A19" s="403" t="str">
        <x:f>A10</x:f>
        <x:v>MARA</x:v>
      </x:c>
      <x:c r="B19" s="404" t="n">
        <x:f>F10</x:f>
        <x:v>-0.4170483122516522</x:v>
      </x:c>
      <x:c r="C19" s="404" t="n">
        <x:f>I10</x:f>
        <x:v>-0.4316418359230403</x:v>
      </x:c>
      <x:c r="D19" s="404" t="n">
        <x:f>L10</x:f>
        <x:v>-0.5566549010318953</x:v>
      </x:c>
      <x:c r="E19" s="195"/>
      <x:c r="F19" s="195"/>
      <x:c r="G19" s="195"/>
      <x:c r="H19" s="195"/>
      <x:c r="I19" s="195"/>
      <x:c r="J19" s="195"/>
      <x:c r="K19" s="195"/>
      <x:c r="L19" s="195"/>
      <x:c r="M19" s="195"/>
    </x:row>
    <x:row r="20">
      <x:c r="A20" s="195"/>
      <x:c r="B20" s="195"/>
      <x:c r="C20" s="195"/>
      <x:c r="D20" s="195"/>
      <x:c r="E20" s="195"/>
      <x:c r="F20" s="195"/>
      <x:c r="G20" s="195"/>
      <x:c r="H20" s="195"/>
      <x:c r="I20" s="195"/>
      <x:c r="J20" s="195"/>
      <x:c r="K20" s="195"/>
      <x:c r="L20" s="195"/>
      <x:c r="M20" s="195"/>
    </x:row>
    <x:row r="21">
      <x:c r="A21" s="195"/>
      <x:c r="B21" s="195"/>
      <x:c r="C21" s="195"/>
      <x:c r="D21" s="195"/>
      <x:c r="E21" s="195"/>
      <x:c r="F21" s="195"/>
      <x:c r="G21" s="195"/>
      <x:c r="H21" s="195"/>
      <x:c r="I21" s="195"/>
      <x:c r="J21" s="195"/>
      <x:c r="K21" s="195"/>
      <x:c r="L21" s="195"/>
      <x:c r="M21" s="195"/>
    </x:row>
    <x:row r="22">
      <x:c r="A22" s="195"/>
      <x:c r="B22" s="195"/>
      <x:c r="C22" s="195"/>
      <x:c r="D22" s="195"/>
      <x:c r="E22" s="195"/>
      <x:c r="F22" s="195"/>
      <x:c r="G22" s="195"/>
      <x:c r="H22" s="195"/>
      <x:c r="I22" s="195"/>
      <x:c r="J22" s="195"/>
      <x:c r="K22" s="195"/>
      <x:c r="L22" s="195"/>
      <x:c r="M22" s="195"/>
    </x:row>
    <x:row r="23">
      <x:c r="A23" s="195"/>
      <x:c r="B23" s="195"/>
      <x:c r="C23" s="195"/>
      <x:c r="D23" s="195"/>
      <x:c r="E23" s="195"/>
      <x:c r="F23" s="195"/>
      <x:c r="G23" s="195"/>
      <x:c r="H23" s="195"/>
      <x:c r="I23" s="195"/>
      <x:c r="J23" s="195"/>
      <x:c r="K23" s="195"/>
      <x:c r="L23" s="195"/>
      <x:c r="M23" s="195"/>
    </x:row>
    <x:row r="24">
      <x:c r="A24" s="195"/>
      <x:c r="B24" s="195"/>
      <x:c r="C24" s="195"/>
      <x:c r="D24" s="195"/>
      <x:c r="E24" s="195"/>
      <x:c r="F24" s="195"/>
      <x:c r="G24" s="195"/>
      <x:c r="H24" s="195"/>
      <x:c r="I24" s="195"/>
      <x:c r="J24" s="195"/>
      <x:c r="K24" s="195"/>
      <x:c r="L24" s="195"/>
      <x:c r="M24" s="195"/>
    </x:row>
    <x:row r="25">
      <x:c r="A25" s="195"/>
      <x:c r="B25" s="195"/>
      <x:c r="C25" s="195"/>
      <x:c r="D25" s="195"/>
      <x:c r="E25" s="195"/>
      <x:c r="F25" s="195"/>
      <x:c r="G25" s="195"/>
      <x:c r="H25" s="195"/>
      <x:c r="I25" s="195"/>
      <x:c r="J25" s="195"/>
      <x:c r="K25" s="195"/>
      <x:c r="L25" s="195"/>
      <x:c r="M25" s="195"/>
    </x:row>
    <x:row r="26">
      <x:c r="A26" s="195"/>
      <x:c r="B26" s="195"/>
      <x:c r="C26" s="195"/>
      <x:c r="D26" s="195"/>
      <x:c r="E26" s="195"/>
      <x:c r="F26" s="195"/>
      <x:c r="G26" s="195"/>
      <x:c r="H26" s="195"/>
      <x:c r="I26" s="195"/>
      <x:c r="J26" s="195"/>
      <x:c r="K26" s="195"/>
      <x:c r="L26" s="195"/>
      <x:c r="M26" s="195"/>
    </x:row>
    <x:row r="27">
      <x:c r="A27" s="195"/>
      <x:c r="B27" s="195"/>
      <x:c r="C27" s="195"/>
      <x:c r="D27" s="195"/>
      <x:c r="E27" s="195"/>
      <x:c r="F27" s="195"/>
      <x:c r="G27" s="195"/>
      <x:c r="H27" s="195"/>
      <x:c r="I27" s="195"/>
      <x:c r="J27" s="195"/>
      <x:c r="K27" s="195"/>
      <x:c r="L27" s="195"/>
      <x:c r="M27" s="195"/>
    </x:row>
    <x:row r="28">
      <x:c r="A28" s="195"/>
      <x:c r="B28" s="195"/>
      <x:c r="C28" s="195"/>
      <x:c r="D28" s="195"/>
      <x:c r="E28" s="195"/>
      <x:c r="F28" s="195"/>
      <x:c r="G28" s="195"/>
      <x:c r="H28" s="195"/>
      <x:c r="I28" s="195"/>
      <x:c r="J28" s="195"/>
      <x:c r="K28" s="195"/>
      <x:c r="L28" s="195"/>
      <x:c r="M28" s="195"/>
    </x:row>
    <x:row r="29">
      <x:c r="A29" s="195"/>
      <x:c r="B29" s="195"/>
      <x:c r="C29" s="195"/>
      <x:c r="D29" s="195"/>
      <x:c r="E29" s="195"/>
      <x:c r="F29" s="195"/>
      <x:c r="G29" s="195"/>
      <x:c r="H29" s="195"/>
      <x:c r="I29" s="195"/>
      <x:c r="J29" s="195"/>
      <x:c r="K29" s="195"/>
      <x:c r="L29" s="195"/>
      <x:c r="M29" s="195"/>
    </x:row>
    <x:row r="30">
      <x:c r="A30" s="195"/>
      <x:c r="B30" s="195"/>
      <x:c r="C30" s="195"/>
      <x:c r="D30" s="195"/>
      <x:c r="E30" s="195"/>
      <x:c r="F30" s="195"/>
      <x:c r="G30" s="195"/>
      <x:c r="H30" s="195"/>
      <x:c r="I30" s="195"/>
      <x:c r="J30" s="195"/>
      <x:c r="K30" s="195"/>
      <x:c r="L30" s="195"/>
      <x:c r="M30" s="195"/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d1798029faa64e96"/>
</x:worksheet>
</file>